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activeX/activeX1.xml" ContentType="application/vnd.ms-office.activeX+xml"/>
  <Override PartName="/xl/activeX/activeX1.bin" ContentType="application/vnd.ms-office.activeX"/>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202300"/>
  <mc:AlternateContent xmlns:mc="http://schemas.openxmlformats.org/markup-compatibility/2006">
    <mc:Choice Requires="x15">
      <x15ac:absPath xmlns:x15ac="http://schemas.microsoft.com/office/spreadsheetml/2010/11/ac" url="C:\Users\awl.IC\Desktop\"/>
    </mc:Choice>
  </mc:AlternateContent>
  <xr:revisionPtr revIDLastSave="0" documentId="8_{4BEF7250-B06C-4BBD-8A7C-44A6CBC1C3D7}" xr6:coauthVersionLast="47" xr6:coauthVersionMax="47" xr10:uidLastSave="{00000000-0000-0000-0000-000000000000}"/>
  <bookViews>
    <workbookView xWindow="-120" yWindow="-120" windowWidth="19440" windowHeight="14880" xr2:uid="{191FACBD-008B-4A6F-8A59-B936D87013EB}"/>
  </bookViews>
  <sheets>
    <sheet name="Matrix - Baseline Overall" sheetId="1" r:id="rId1"/>
  </sheets>
  <externalReferences>
    <externalReference r:id="rId2"/>
  </externalReferences>
  <definedNames>
    <definedName name="_AtRisk_SimSetting_AutomaticallyGenerateReports" hidden="1">FALSE</definedName>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RandomNumberGenerator" hidden="1">0</definedName>
    <definedName name="_AtRisk_SimSetting_ReportsList" hidden="1">4</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Pal_Workbook_GUID" hidden="1">"FUA32WZNT12BVBGSD4AB41E6"</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6</definedName>
    <definedName name="RiskMinimizeOnStart" hidden="1">FALSE</definedName>
    <definedName name="RiskMonitorConvergence" hidden="1">FALSE</definedName>
    <definedName name="RiskMultipleCPUSupportEnabled" hidden="1">TRUE</definedName>
    <definedName name="RiskNumIterations" hidden="1">100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TRUE</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X56" i="1" l="1"/>
  <c r="W56" i="1"/>
  <c r="V56" i="1"/>
  <c r="N56" i="1"/>
  <c r="I56" i="1"/>
  <c r="H56" i="1"/>
  <c r="F56" i="1"/>
  <c r="D56" i="1"/>
  <c r="M56" i="1"/>
  <c r="L41" i="1"/>
  <c r="V39" i="1"/>
  <c r="U39" i="1"/>
  <c r="U40" i="1" s="1"/>
  <c r="M39" i="1"/>
  <c r="L39" i="1"/>
  <c r="F39" i="1"/>
  <c r="W38" i="1"/>
  <c r="V38" i="1"/>
  <c r="U38" i="1"/>
  <c r="O38" i="1"/>
  <c r="N38" i="1"/>
  <c r="M38" i="1"/>
  <c r="G38" i="1"/>
  <c r="F38" i="1"/>
  <c r="E38" i="1"/>
  <c r="AA39" i="1"/>
  <c r="K39" i="1"/>
  <c r="AA38" i="1"/>
  <c r="AA42" i="1" s="1"/>
  <c r="T38" i="1"/>
  <c r="Q38" i="1"/>
  <c r="L38" i="1"/>
  <c r="Z29" i="1"/>
  <c r="T29" i="1"/>
  <c r="H29" i="1"/>
  <c r="G29" i="1"/>
  <c r="D29" i="1"/>
  <c r="C29" i="1"/>
  <c r="AA29" i="1"/>
  <c r="K29" i="1"/>
  <c r="O29" i="1"/>
  <c r="X29" i="1"/>
  <c r="W29" i="1"/>
  <c r="Z20" i="1"/>
  <c r="Y20" i="1"/>
  <c r="V20" i="1"/>
  <c r="U20" i="1"/>
  <c r="R20" i="1"/>
  <c r="Q20" i="1"/>
  <c r="M20" i="1"/>
  <c r="J20" i="1"/>
  <c r="I20" i="1"/>
  <c r="F20" i="1"/>
  <c r="Z19" i="1"/>
  <c r="Z23" i="1" s="1"/>
  <c r="R19" i="1"/>
  <c r="O19" i="1"/>
  <c r="N19" i="1"/>
  <c r="K19" i="1"/>
  <c r="J19" i="1"/>
  <c r="J23" i="1" s="1"/>
  <c r="G19" i="1"/>
  <c r="F19" i="1"/>
  <c r="C19" i="1"/>
  <c r="H18" i="1"/>
  <c r="AA20" i="1"/>
  <c r="K20" i="1"/>
  <c r="N20" i="1"/>
  <c r="C20" i="1"/>
  <c r="Q19" i="1"/>
  <c r="L19" i="1"/>
  <c r="AA41" i="1" l="1"/>
  <c r="M40" i="1"/>
  <c r="Q21" i="1"/>
  <c r="Q24" i="1"/>
  <c r="F23" i="1"/>
  <c r="N23" i="1"/>
  <c r="K22" i="1"/>
  <c r="T19" i="1"/>
  <c r="U19" i="1"/>
  <c r="C25" i="1"/>
  <c r="C24" i="1"/>
  <c r="C23" i="1"/>
  <c r="C21" i="1"/>
  <c r="F25" i="1"/>
  <c r="F22" i="1"/>
  <c r="F21" i="1"/>
  <c r="V19" i="1"/>
  <c r="R21" i="1"/>
  <c r="R24" i="1"/>
  <c r="R25" i="1"/>
  <c r="R22" i="1"/>
  <c r="Q40" i="1"/>
  <c r="Q44" i="1"/>
  <c r="S19" i="1"/>
  <c r="Y19" i="1"/>
  <c r="X19" i="1"/>
  <c r="W19" i="1"/>
  <c r="F24" i="1"/>
  <c r="J21" i="1"/>
  <c r="J25" i="1"/>
  <c r="J24" i="1"/>
  <c r="J22" i="1"/>
  <c r="N42" i="1"/>
  <c r="K25" i="1"/>
  <c r="K23" i="1"/>
  <c r="K24" i="1"/>
  <c r="K21" i="1"/>
  <c r="Q22" i="1"/>
  <c r="Q25" i="1"/>
  <c r="Q23" i="1"/>
  <c r="F29" i="1"/>
  <c r="U29" i="1"/>
  <c r="E44" i="1"/>
  <c r="E43" i="1"/>
  <c r="S20" i="1"/>
  <c r="X20" i="1"/>
  <c r="D20" i="1"/>
  <c r="Z21" i="1"/>
  <c r="Z25" i="1"/>
  <c r="Z24" i="1"/>
  <c r="Z22" i="1"/>
  <c r="S39" i="1"/>
  <c r="I39" i="1"/>
  <c r="X39" i="1"/>
  <c r="N39" i="1"/>
  <c r="N44" i="1" s="1"/>
  <c r="D39" i="1"/>
  <c r="O20" i="1"/>
  <c r="O22" i="1" s="1"/>
  <c r="T20" i="1"/>
  <c r="AA19" i="1"/>
  <c r="P29" i="1"/>
  <c r="D19" i="1"/>
  <c r="H17" i="1"/>
  <c r="E19" i="1"/>
  <c r="N25" i="1"/>
  <c r="N22" i="1"/>
  <c r="N21" i="1"/>
  <c r="E20" i="1"/>
  <c r="C22" i="1"/>
  <c r="R23" i="1"/>
  <c r="N24" i="1"/>
  <c r="L25" i="1"/>
  <c r="E40" i="1"/>
  <c r="Q29" i="1"/>
  <c r="J39" i="1"/>
  <c r="Y39" i="1"/>
  <c r="O39" i="1"/>
  <c r="O44" i="1" s="1"/>
  <c r="M19" i="1"/>
  <c r="L20" i="1"/>
  <c r="L24" i="1" s="1"/>
  <c r="J29" i="1"/>
  <c r="S29" i="1"/>
  <c r="L44" i="1"/>
  <c r="L43" i="1"/>
  <c r="L42" i="1"/>
  <c r="V44" i="1"/>
  <c r="V43" i="1"/>
  <c r="V42" i="1"/>
  <c r="V41" i="1"/>
  <c r="V40" i="1"/>
  <c r="T39" i="1"/>
  <c r="T44" i="1" s="1"/>
  <c r="L29" i="1"/>
  <c r="F44" i="1"/>
  <c r="F43" i="1"/>
  <c r="F42" i="1"/>
  <c r="F41" i="1"/>
  <c r="F40" i="1"/>
  <c r="E56" i="1"/>
  <c r="T56" i="1"/>
  <c r="J56" i="1"/>
  <c r="Y56" i="1"/>
  <c r="H54" i="1"/>
  <c r="H19" i="1"/>
  <c r="P19" i="1"/>
  <c r="G20" i="1"/>
  <c r="G22" i="1" s="1"/>
  <c r="W20" i="1"/>
  <c r="E29" i="1"/>
  <c r="M29" i="1"/>
  <c r="V29" i="1"/>
  <c r="AA44" i="1"/>
  <c r="AA43" i="1"/>
  <c r="G42" i="1"/>
  <c r="E39" i="1"/>
  <c r="E42" i="1" s="1"/>
  <c r="U56" i="1"/>
  <c r="K56" i="1"/>
  <c r="Z56" i="1"/>
  <c r="O56" i="1"/>
  <c r="I19" i="1"/>
  <c r="H20" i="1"/>
  <c r="P20" i="1"/>
  <c r="N29" i="1"/>
  <c r="Y29" i="1"/>
  <c r="C39" i="1"/>
  <c r="R39" i="1"/>
  <c r="H37" i="1"/>
  <c r="H39" i="1"/>
  <c r="W39" i="1"/>
  <c r="W40" i="1" s="1"/>
  <c r="M44" i="1"/>
  <c r="M43" i="1"/>
  <c r="M42" i="1"/>
  <c r="M41" i="1"/>
  <c r="AA40" i="1"/>
  <c r="T41" i="1"/>
  <c r="L56" i="1"/>
  <c r="AA56" i="1"/>
  <c r="Q56" i="1"/>
  <c r="P56" i="1"/>
  <c r="H27" i="1"/>
  <c r="I29" i="1"/>
  <c r="R29" i="1"/>
  <c r="D38" i="1"/>
  <c r="H36" i="1"/>
  <c r="C38" i="1"/>
  <c r="U44" i="1"/>
  <c r="U43" i="1"/>
  <c r="U42" i="1"/>
  <c r="U41" i="1"/>
  <c r="L40" i="1"/>
  <c r="G56" i="1"/>
  <c r="H38" i="1"/>
  <c r="P38" i="1"/>
  <c r="X38" i="1"/>
  <c r="G39" i="1"/>
  <c r="G44" i="1" s="1"/>
  <c r="I38" i="1"/>
  <c r="Y38" i="1"/>
  <c r="P39" i="1"/>
  <c r="R56" i="1"/>
  <c r="J38" i="1"/>
  <c r="R38" i="1"/>
  <c r="Z38" i="1"/>
  <c r="Q39" i="1"/>
  <c r="Q43" i="1" s="1"/>
  <c r="C56" i="1"/>
  <c r="S56" i="1"/>
  <c r="K38" i="1"/>
  <c r="S38" i="1"/>
  <c r="Z39" i="1"/>
  <c r="N40" i="1" l="1"/>
  <c r="Q41" i="1"/>
  <c r="N41" i="1"/>
  <c r="G40" i="1"/>
  <c r="T43" i="1"/>
  <c r="E41" i="1"/>
  <c r="N43" i="1"/>
  <c r="T42" i="1"/>
  <c r="G41" i="1"/>
  <c r="T40" i="1"/>
  <c r="L21" i="1"/>
  <c r="L22" i="1"/>
  <c r="L23" i="1"/>
  <c r="G25" i="1"/>
  <c r="K44" i="1"/>
  <c r="K43" i="1"/>
  <c r="K40" i="1"/>
  <c r="K42" i="1"/>
  <c r="K41" i="1"/>
  <c r="M23" i="1"/>
  <c r="M22" i="1"/>
  <c r="M24" i="1"/>
  <c r="M21" i="1"/>
  <c r="M25" i="1"/>
  <c r="W24" i="1"/>
  <c r="W21" i="1"/>
  <c r="W25" i="1"/>
  <c r="W22" i="1"/>
  <c r="W23" i="1"/>
  <c r="T24" i="1"/>
  <c r="T22" i="1"/>
  <c r="T23" i="1"/>
  <c r="T25" i="1"/>
  <c r="T21" i="1"/>
  <c r="D24" i="1"/>
  <c r="D23" i="1"/>
  <c r="D22" i="1"/>
  <c r="D25" i="1"/>
  <c r="D21" i="1"/>
  <c r="G43" i="1"/>
  <c r="AA25" i="1"/>
  <c r="AA23" i="1"/>
  <c r="AA24" i="1"/>
  <c r="AA21" i="1"/>
  <c r="AA22" i="1"/>
  <c r="G24" i="1"/>
  <c r="W41" i="1"/>
  <c r="Z40" i="1"/>
  <c r="Z44" i="1"/>
  <c r="Z42" i="1"/>
  <c r="Z43" i="1"/>
  <c r="Z41" i="1"/>
  <c r="X42" i="1"/>
  <c r="X41" i="1"/>
  <c r="X40" i="1"/>
  <c r="X43" i="1"/>
  <c r="X44" i="1"/>
  <c r="O41" i="1"/>
  <c r="H23" i="1"/>
  <c r="H24" i="1"/>
  <c r="H25" i="1"/>
  <c r="H21" i="1"/>
  <c r="H22" i="1"/>
  <c r="O25" i="1"/>
  <c r="X23" i="1"/>
  <c r="X24" i="1"/>
  <c r="X21" i="1"/>
  <c r="X22" i="1"/>
  <c r="X25" i="1"/>
  <c r="W42" i="1"/>
  <c r="Y22" i="1"/>
  <c r="Y25" i="1"/>
  <c r="Y23" i="1"/>
  <c r="Y21" i="1"/>
  <c r="Y24" i="1"/>
  <c r="W43" i="1"/>
  <c r="J40" i="1"/>
  <c r="J44" i="1"/>
  <c r="J41" i="1"/>
  <c r="J43" i="1"/>
  <c r="J42" i="1"/>
  <c r="H42" i="1"/>
  <c r="H41" i="1"/>
  <c r="H40" i="1"/>
  <c r="H44" i="1"/>
  <c r="H43" i="1"/>
  <c r="O23" i="1"/>
  <c r="Y41" i="1"/>
  <c r="Y40" i="1"/>
  <c r="Y44" i="1"/>
  <c r="Y43" i="1"/>
  <c r="Y42" i="1"/>
  <c r="W44" i="1"/>
  <c r="I41" i="1"/>
  <c r="I40" i="1"/>
  <c r="I44" i="1"/>
  <c r="I43" i="1"/>
  <c r="I42" i="1"/>
  <c r="I22" i="1"/>
  <c r="I25" i="1"/>
  <c r="I23" i="1"/>
  <c r="I21" i="1"/>
  <c r="I24" i="1"/>
  <c r="G21" i="1"/>
  <c r="O40" i="1"/>
  <c r="P23" i="1"/>
  <c r="P24" i="1"/>
  <c r="P22" i="1"/>
  <c r="P21" i="1"/>
  <c r="P25" i="1"/>
  <c r="R40" i="1"/>
  <c r="R44" i="1"/>
  <c r="R42" i="1"/>
  <c r="R41" i="1"/>
  <c r="R43" i="1"/>
  <c r="P42" i="1"/>
  <c r="P41" i="1"/>
  <c r="P40" i="1"/>
  <c r="P43" i="1"/>
  <c r="P44" i="1"/>
  <c r="C44" i="1"/>
  <c r="C43" i="1"/>
  <c r="C42" i="1"/>
  <c r="C40" i="1"/>
  <c r="C41" i="1"/>
  <c r="O42" i="1"/>
  <c r="O21" i="1"/>
  <c r="O43" i="1"/>
  <c r="O24" i="1"/>
  <c r="S25" i="1"/>
  <c r="S24" i="1"/>
  <c r="S23" i="1"/>
  <c r="S21" i="1"/>
  <c r="S22" i="1"/>
  <c r="G23" i="1"/>
  <c r="S44" i="1"/>
  <c r="S43" i="1"/>
  <c r="S41" i="1"/>
  <c r="S42" i="1"/>
  <c r="S40" i="1"/>
  <c r="D44" i="1"/>
  <c r="D43" i="1"/>
  <c r="D42" i="1"/>
  <c r="D41" i="1"/>
  <c r="D40" i="1"/>
  <c r="E23" i="1"/>
  <c r="E22" i="1"/>
  <c r="E25" i="1"/>
  <c r="E21" i="1"/>
  <c r="E24" i="1"/>
  <c r="Q42" i="1"/>
  <c r="V25" i="1"/>
  <c r="V22" i="1"/>
  <c r="V21" i="1"/>
  <c r="V23" i="1"/>
  <c r="V24" i="1"/>
  <c r="U23" i="1"/>
  <c r="U22" i="1"/>
  <c r="U25" i="1"/>
  <c r="U21" i="1"/>
  <c r="U24" i="1"/>
  <c r="G26" i="1" l="1"/>
  <c r="F26" i="1"/>
  <c r="T28" i="1" s="1"/>
  <c r="E26" i="1"/>
  <c r="C26" i="1"/>
  <c r="C28" i="1" s="1"/>
  <c r="D26" i="1"/>
  <c r="K28" i="1" s="1"/>
  <c r="Z28" i="1"/>
  <c r="W28" i="1"/>
  <c r="AA28" i="1"/>
  <c r="Y28" i="1"/>
  <c r="X28" i="1"/>
  <c r="R28" i="1"/>
  <c r="U28" i="1"/>
  <c r="V28" i="1"/>
  <c r="S28" i="1"/>
  <c r="Q28" i="1"/>
  <c r="O28" i="1"/>
  <c r="N28" i="1"/>
  <c r="M28" i="1"/>
  <c r="P28" i="1"/>
  <c r="F45" i="1"/>
  <c r="G45" i="1"/>
  <c r="C45" i="1"/>
  <c r="D45" i="1"/>
  <c r="E45" i="1"/>
  <c r="F28" i="1" l="1"/>
  <c r="E28" i="1"/>
  <c r="J28" i="1"/>
  <c r="G28" i="1"/>
  <c r="L28" i="1"/>
  <c r="L31" i="1" s="1"/>
  <c r="I28" i="1"/>
  <c r="I30" i="1" s="1"/>
  <c r="D28" i="1"/>
  <c r="D32" i="1" s="1"/>
  <c r="H28" i="1"/>
  <c r="H30" i="1" s="1"/>
  <c r="R30" i="1"/>
  <c r="R34" i="1"/>
  <c r="R31" i="1"/>
  <c r="R33" i="1"/>
  <c r="R32" i="1"/>
  <c r="N34" i="1"/>
  <c r="N33" i="1"/>
  <c r="N32" i="1"/>
  <c r="N31" i="1"/>
  <c r="N30" i="1"/>
  <c r="O33" i="1"/>
  <c r="O32" i="1"/>
  <c r="O30" i="1"/>
  <c r="O34" i="1"/>
  <c r="O31" i="1"/>
  <c r="I31" i="1"/>
  <c r="W47" i="1"/>
  <c r="M47" i="1"/>
  <c r="C47" i="1"/>
  <c r="H47" i="1"/>
  <c r="R47" i="1"/>
  <c r="T34" i="1"/>
  <c r="T33" i="1"/>
  <c r="T32" i="1"/>
  <c r="T31" i="1"/>
  <c r="T30" i="1"/>
  <c r="K34" i="1"/>
  <c r="K33" i="1"/>
  <c r="K32" i="1"/>
  <c r="K30" i="1"/>
  <c r="K31" i="1"/>
  <c r="C34" i="1"/>
  <c r="C33" i="1"/>
  <c r="C30" i="1"/>
  <c r="C32" i="1"/>
  <c r="C31" i="1"/>
  <c r="AA34" i="1"/>
  <c r="AA33" i="1"/>
  <c r="AA30" i="1"/>
  <c r="AA32" i="1"/>
  <c r="AA31" i="1"/>
  <c r="O47" i="1"/>
  <c r="E47" i="1"/>
  <c r="T47" i="1"/>
  <c r="Y47" i="1"/>
  <c r="J47" i="1"/>
  <c r="Z30" i="1"/>
  <c r="Z34" i="1"/>
  <c r="Z31" i="1"/>
  <c r="Z33" i="1"/>
  <c r="Z32" i="1"/>
  <c r="N47" i="1"/>
  <c r="D47" i="1"/>
  <c r="S47" i="1"/>
  <c r="I47" i="1"/>
  <c r="X47" i="1"/>
  <c r="Q31" i="1"/>
  <c r="Q30" i="1"/>
  <c r="Q33" i="1"/>
  <c r="Q34" i="1"/>
  <c r="Q32" i="1"/>
  <c r="D34" i="1"/>
  <c r="D33" i="1"/>
  <c r="G47" i="1"/>
  <c r="V47" i="1"/>
  <c r="L47" i="1"/>
  <c r="AA47" i="1"/>
  <c r="Q47" i="1"/>
  <c r="S34" i="1"/>
  <c r="S33" i="1"/>
  <c r="S32" i="1"/>
  <c r="S30" i="1"/>
  <c r="S31" i="1"/>
  <c r="J34" i="1"/>
  <c r="J32" i="1"/>
  <c r="J30" i="1"/>
  <c r="J31" i="1"/>
  <c r="J33" i="1"/>
  <c r="F34" i="1"/>
  <c r="F33" i="1"/>
  <c r="F32" i="1"/>
  <c r="F31" i="1"/>
  <c r="F30" i="1"/>
  <c r="M34" i="1"/>
  <c r="M33" i="1"/>
  <c r="M32" i="1"/>
  <c r="M31" i="1"/>
  <c r="M30" i="1"/>
  <c r="F47" i="1"/>
  <c r="U47" i="1"/>
  <c r="K47" i="1"/>
  <c r="Z47" i="1"/>
  <c r="P47" i="1"/>
  <c r="V34" i="1"/>
  <c r="V33" i="1"/>
  <c r="V32" i="1"/>
  <c r="V31" i="1"/>
  <c r="V30" i="1"/>
  <c r="X32" i="1"/>
  <c r="X31" i="1"/>
  <c r="X34" i="1"/>
  <c r="X30" i="1"/>
  <c r="X33" i="1"/>
  <c r="E34" i="1"/>
  <c r="E33" i="1"/>
  <c r="E32" i="1"/>
  <c r="E31" i="1"/>
  <c r="E30" i="1"/>
  <c r="W33" i="1"/>
  <c r="W32" i="1"/>
  <c r="W31" i="1"/>
  <c r="W30" i="1"/>
  <c r="W34" i="1"/>
  <c r="L33" i="1"/>
  <c r="L32" i="1"/>
  <c r="P32" i="1"/>
  <c r="P31" i="1"/>
  <c r="P30" i="1"/>
  <c r="P34" i="1"/>
  <c r="P33" i="1"/>
  <c r="U34" i="1"/>
  <c r="U33" i="1"/>
  <c r="U32" i="1"/>
  <c r="U31" i="1"/>
  <c r="U30" i="1"/>
  <c r="Y31" i="1"/>
  <c r="Y30" i="1"/>
  <c r="Y34" i="1"/>
  <c r="Y33" i="1"/>
  <c r="Y32" i="1"/>
  <c r="G33" i="1"/>
  <c r="G32" i="1"/>
  <c r="G30" i="1"/>
  <c r="G31" i="1"/>
  <c r="G34" i="1"/>
  <c r="L34" i="1" l="1"/>
  <c r="H32" i="1"/>
  <c r="H33" i="1"/>
  <c r="H31" i="1"/>
  <c r="I34" i="1"/>
  <c r="D30" i="1"/>
  <c r="I32" i="1"/>
  <c r="E35" i="1" s="1"/>
  <c r="L30" i="1"/>
  <c r="C35" i="1" s="1"/>
  <c r="D31" i="1"/>
  <c r="H34" i="1"/>
  <c r="I33" i="1"/>
  <c r="F35" i="1"/>
  <c r="D35" i="1"/>
  <c r="G35" i="1"/>
  <c r="X46" i="1" l="1"/>
  <c r="W46" i="1"/>
  <c r="AA46" i="1"/>
  <c r="Y46" i="1"/>
  <c r="Z46" i="1"/>
  <c r="G46" i="1"/>
  <c r="F46" i="1"/>
  <c r="E46" i="1"/>
  <c r="D46" i="1"/>
  <c r="C46" i="1"/>
  <c r="P46" i="1"/>
  <c r="O46" i="1"/>
  <c r="N46" i="1"/>
  <c r="M46" i="1"/>
  <c r="Q46" i="1"/>
  <c r="H46" i="1"/>
  <c r="L46" i="1"/>
  <c r="J46" i="1"/>
  <c r="K46" i="1"/>
  <c r="I46" i="1"/>
  <c r="V46" i="1"/>
  <c r="U46" i="1"/>
  <c r="T46" i="1"/>
  <c r="S46" i="1"/>
  <c r="R46" i="1"/>
  <c r="S51" i="1" l="1"/>
  <c r="S50" i="1"/>
  <c r="S49" i="1"/>
  <c r="S48" i="1"/>
  <c r="S52" i="1"/>
  <c r="H52" i="1"/>
  <c r="H51" i="1"/>
  <c r="H50" i="1"/>
  <c r="H49" i="1"/>
  <c r="H48" i="1"/>
  <c r="E49" i="1"/>
  <c r="E48" i="1"/>
  <c r="E52" i="1"/>
  <c r="E51" i="1"/>
  <c r="E50" i="1"/>
  <c r="T50" i="1"/>
  <c r="T49" i="1"/>
  <c r="T48" i="1"/>
  <c r="T52" i="1"/>
  <c r="T51" i="1"/>
  <c r="Q52" i="1"/>
  <c r="Q51" i="1"/>
  <c r="Q50" i="1"/>
  <c r="Q49" i="1"/>
  <c r="Q48" i="1"/>
  <c r="F48" i="1"/>
  <c r="F52" i="1"/>
  <c r="F50" i="1"/>
  <c r="F51" i="1"/>
  <c r="F49" i="1"/>
  <c r="U49" i="1"/>
  <c r="U48" i="1"/>
  <c r="U52" i="1"/>
  <c r="U51" i="1"/>
  <c r="U50" i="1"/>
  <c r="M49" i="1"/>
  <c r="M48" i="1"/>
  <c r="M51" i="1"/>
  <c r="M50" i="1"/>
  <c r="M52" i="1"/>
  <c r="G52" i="1"/>
  <c r="G51" i="1"/>
  <c r="G50" i="1"/>
  <c r="G49" i="1"/>
  <c r="G48" i="1"/>
  <c r="V48" i="1"/>
  <c r="V52" i="1"/>
  <c r="V49" i="1"/>
  <c r="V51" i="1"/>
  <c r="V50" i="1"/>
  <c r="N48" i="1"/>
  <c r="N52" i="1"/>
  <c r="N49" i="1"/>
  <c r="N51" i="1"/>
  <c r="N50" i="1"/>
  <c r="Z52" i="1"/>
  <c r="Z51" i="1"/>
  <c r="Z50" i="1"/>
  <c r="Z49" i="1"/>
  <c r="Z48" i="1"/>
  <c r="I52" i="1"/>
  <c r="I51" i="1"/>
  <c r="I50" i="1"/>
  <c r="I49" i="1"/>
  <c r="I48" i="1"/>
  <c r="O52" i="1"/>
  <c r="O51" i="1"/>
  <c r="O50" i="1"/>
  <c r="O48" i="1"/>
  <c r="O49" i="1"/>
  <c r="Y52" i="1"/>
  <c r="Y51" i="1"/>
  <c r="Y50" i="1"/>
  <c r="Y49" i="1"/>
  <c r="Y48" i="1"/>
  <c r="K51" i="1"/>
  <c r="K50" i="1"/>
  <c r="K49" i="1"/>
  <c r="K48" i="1"/>
  <c r="K52" i="1"/>
  <c r="P52" i="1"/>
  <c r="P51" i="1"/>
  <c r="P50" i="1"/>
  <c r="P48" i="1"/>
  <c r="P49" i="1"/>
  <c r="AA51" i="1"/>
  <c r="AA50" i="1"/>
  <c r="AA49" i="1"/>
  <c r="AA48" i="1"/>
  <c r="AA52" i="1"/>
  <c r="J52" i="1"/>
  <c r="J51" i="1"/>
  <c r="J50" i="1"/>
  <c r="J49" i="1"/>
  <c r="J48" i="1"/>
  <c r="C51" i="1"/>
  <c r="C50" i="1"/>
  <c r="C49" i="1"/>
  <c r="C48" i="1"/>
  <c r="C52" i="1"/>
  <c r="W52" i="1"/>
  <c r="W51" i="1"/>
  <c r="W50" i="1"/>
  <c r="W49" i="1"/>
  <c r="W48" i="1"/>
  <c r="R52" i="1"/>
  <c r="R51" i="1"/>
  <c r="R50" i="1"/>
  <c r="R49" i="1"/>
  <c r="R48" i="1"/>
  <c r="L50" i="1"/>
  <c r="L49" i="1"/>
  <c r="L48" i="1"/>
  <c r="L52" i="1"/>
  <c r="L51" i="1"/>
  <c r="D50" i="1"/>
  <c r="D49" i="1"/>
  <c r="D48" i="1"/>
  <c r="D51" i="1"/>
  <c r="D52" i="1"/>
  <c r="X52" i="1"/>
  <c r="X51" i="1"/>
  <c r="X50" i="1"/>
  <c r="X48" i="1"/>
  <c r="X49" i="1"/>
  <c r="F53" i="1" l="1"/>
  <c r="V55" i="1"/>
  <c r="U55" i="1"/>
  <c r="T55" i="1"/>
  <c r="S55" i="1"/>
  <c r="R55" i="1"/>
  <c r="G53" i="1"/>
  <c r="C53" i="1"/>
  <c r="D53" i="1"/>
  <c r="E53" i="1"/>
  <c r="L55" i="1" l="1"/>
  <c r="K55" i="1"/>
  <c r="J55" i="1"/>
  <c r="I55" i="1"/>
  <c r="H55" i="1"/>
  <c r="F55" i="1"/>
  <c r="E55" i="1"/>
  <c r="D55" i="1"/>
  <c r="C55" i="1"/>
  <c r="G55" i="1"/>
  <c r="S58" i="1"/>
  <c r="S57" i="1"/>
  <c r="S61" i="1"/>
  <c r="S60" i="1"/>
  <c r="S59" i="1"/>
  <c r="AA55" i="1"/>
  <c r="Z55" i="1"/>
  <c r="X55" i="1"/>
  <c r="W55" i="1"/>
  <c r="Y55" i="1"/>
  <c r="T57" i="1"/>
  <c r="T61" i="1"/>
  <c r="T58" i="1"/>
  <c r="T60" i="1"/>
  <c r="T59" i="1"/>
  <c r="U61" i="1"/>
  <c r="U60" i="1"/>
  <c r="U59" i="1"/>
  <c r="U58" i="1"/>
  <c r="U57" i="1"/>
  <c r="R59" i="1"/>
  <c r="R58" i="1"/>
  <c r="R57" i="1"/>
  <c r="R61" i="1"/>
  <c r="R60" i="1"/>
  <c r="N55" i="1"/>
  <c r="M55" i="1"/>
  <c r="Q55" i="1"/>
  <c r="O55" i="1"/>
  <c r="P55" i="1"/>
  <c r="V61" i="1"/>
  <c r="V60" i="1"/>
  <c r="V59" i="1"/>
  <c r="V57" i="1"/>
  <c r="V58" i="1"/>
  <c r="O61" i="1" l="1"/>
  <c r="O60" i="1"/>
  <c r="O59" i="1"/>
  <c r="O58" i="1"/>
  <c r="O57" i="1"/>
  <c r="E61" i="1"/>
  <c r="E60" i="1"/>
  <c r="E59" i="1"/>
  <c r="E58" i="1"/>
  <c r="E57" i="1"/>
  <c r="P61" i="1"/>
  <c r="P60" i="1"/>
  <c r="P59" i="1"/>
  <c r="P58" i="1"/>
  <c r="P57" i="1"/>
  <c r="AA58" i="1"/>
  <c r="AA57" i="1"/>
  <c r="AA61" i="1"/>
  <c r="AA59" i="1"/>
  <c r="AA60" i="1"/>
  <c r="Q60" i="1"/>
  <c r="Q59" i="1"/>
  <c r="Q58" i="1"/>
  <c r="Q57" i="1"/>
  <c r="Q61" i="1"/>
  <c r="H61" i="1"/>
  <c r="H60" i="1"/>
  <c r="H59" i="1"/>
  <c r="H58" i="1"/>
  <c r="H57" i="1"/>
  <c r="Y60" i="1"/>
  <c r="Y59" i="1"/>
  <c r="Y58" i="1"/>
  <c r="Y57" i="1"/>
  <c r="Y61" i="1"/>
  <c r="I60" i="1"/>
  <c r="I59" i="1"/>
  <c r="I58" i="1"/>
  <c r="I57" i="1"/>
  <c r="I61" i="1"/>
  <c r="X61" i="1"/>
  <c r="X60" i="1"/>
  <c r="X59" i="1"/>
  <c r="X58" i="1"/>
  <c r="X57" i="1"/>
  <c r="G61" i="1"/>
  <c r="G60" i="1"/>
  <c r="G59" i="1"/>
  <c r="G58" i="1"/>
  <c r="G57" i="1"/>
  <c r="K58" i="1"/>
  <c r="K57" i="1"/>
  <c r="K60" i="1"/>
  <c r="K61" i="1"/>
  <c r="K59" i="1"/>
  <c r="D57" i="1"/>
  <c r="D61" i="1"/>
  <c r="D59" i="1"/>
  <c r="D58" i="1"/>
  <c r="D60" i="1"/>
  <c r="F61" i="1"/>
  <c r="F60" i="1"/>
  <c r="F59" i="1"/>
  <c r="F58" i="1"/>
  <c r="F57" i="1"/>
  <c r="M61" i="1"/>
  <c r="M60" i="1"/>
  <c r="M59" i="1"/>
  <c r="M57" i="1"/>
  <c r="M58" i="1"/>
  <c r="N61" i="1"/>
  <c r="N60" i="1"/>
  <c r="N59" i="1"/>
  <c r="N57" i="1"/>
  <c r="N58" i="1"/>
  <c r="W61" i="1"/>
  <c r="W60" i="1"/>
  <c r="W59" i="1"/>
  <c r="W58" i="1"/>
  <c r="W57" i="1"/>
  <c r="J59" i="1"/>
  <c r="J58" i="1"/>
  <c r="J57" i="1"/>
  <c r="J61" i="1"/>
  <c r="J60" i="1"/>
  <c r="Z59" i="1"/>
  <c r="Z58" i="1"/>
  <c r="Z57" i="1"/>
  <c r="Z60" i="1"/>
  <c r="Z61" i="1"/>
  <c r="C58" i="1"/>
  <c r="C57" i="1"/>
  <c r="C61" i="1"/>
  <c r="C60" i="1"/>
  <c r="C59" i="1"/>
  <c r="L57" i="1"/>
  <c r="L61" i="1"/>
  <c r="L58" i="1"/>
  <c r="L60" i="1"/>
  <c r="L59" i="1"/>
  <c r="G62" i="1" l="1"/>
  <c r="G4" i="1" s="1"/>
  <c r="C62" i="1"/>
  <c r="C4" i="1" s="1"/>
  <c r="E62" i="1"/>
  <c r="E4" i="1" s="1"/>
  <c r="D62" i="1"/>
  <c r="D4" i="1" s="1"/>
  <c r="F62" i="1"/>
  <c r="F4" i="1" s="1"/>
</calcChain>
</file>

<file path=xl/sharedStrings.xml><?xml version="1.0" encoding="utf-8"?>
<sst xmlns="http://schemas.openxmlformats.org/spreadsheetml/2006/main" count="24" uniqueCount="19">
  <si>
    <t>Performance categories</t>
  </si>
  <si>
    <t>Very Low</t>
  </si>
  <si>
    <t>Low</t>
  </si>
  <si>
    <t>Moderate</t>
  </si>
  <si>
    <t>High</t>
  </si>
  <si>
    <t>Very High</t>
  </si>
  <si>
    <t>Performance constraint</t>
  </si>
  <si>
    <t>CPT: Equal interval matrix</t>
  </si>
  <si>
    <t>Scale and Independence</t>
  </si>
  <si>
    <t>Time and Management</t>
  </si>
  <si>
    <t>CPT 1: Difficulty</t>
  </si>
  <si>
    <t>Direct Costs</t>
  </si>
  <si>
    <t>CPT 2: Cost and difficulty</t>
  </si>
  <si>
    <t>Evironmental</t>
  </si>
  <si>
    <t>Health and Safety</t>
  </si>
  <si>
    <t>CPT 3: Health &amp; Environment</t>
  </si>
  <si>
    <t>CPT 4: Health, Env, Cost &amp; Diff</t>
  </si>
  <si>
    <t>Losses</t>
  </si>
  <si>
    <t>CPT 5: Overall constraint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</si>
</sst>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3" x14ac:knownFonts="1">
    <font>
      <sz val="11"/>
      <color theme="1"/>
      <name val="Aptos Narrow"/>
      <family val="2"/>
      <scheme val="minor"/>
    </font>
    <font>
      <sz val="11"/>
      <color theme="1"/>
      <name val="Aptos Narrow"/>
      <family val="2"/>
      <scheme val="minor"/>
    </font>
    <font>
      <sz val="10"/>
      <name val="Arial"/>
      <family val="2"/>
    </font>
  </fonts>
  <fills count="3">
    <fill>
      <patternFill patternType="none"/>
    </fill>
    <fill>
      <patternFill patternType="gray125"/>
    </fill>
    <fill>
      <patternFill patternType="solid">
        <fgColor theme="4" tint="0.59999389629810485"/>
        <bgColor indexed="64"/>
      </patternFill>
    </fill>
  </fills>
  <borders count="18">
    <border>
      <left/>
      <right/>
      <top/>
      <bottom/>
      <diagonal/>
    </border>
    <border>
      <left style="thin">
        <color indexed="64"/>
      </left>
      <right/>
      <top style="thin">
        <color indexed="64"/>
      </top>
      <bottom/>
      <diagonal/>
    </border>
    <border>
      <left/>
      <right/>
      <top style="thin">
        <color indexed="64"/>
      </top>
      <bottom/>
      <diagonal/>
    </border>
    <border>
      <left/>
      <right style="hair">
        <color indexed="64"/>
      </right>
      <top style="thin">
        <color indexed="64"/>
      </top>
      <bottom/>
      <diagonal/>
    </border>
    <border>
      <left style="hair">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hair">
        <color indexed="64"/>
      </right>
      <top/>
      <bottom/>
      <diagonal/>
    </border>
    <border>
      <left style="hair">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hair">
        <color indexed="64"/>
      </right>
      <top/>
      <bottom style="thin">
        <color indexed="64"/>
      </bottom>
      <diagonal/>
    </border>
    <border>
      <left style="hair">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1" fillId="0" borderId="0"/>
  </cellStyleXfs>
  <cellXfs count="32">
    <xf numFmtId="0" fontId="0" fillId="0" borderId="0" xfId="0"/>
    <xf numFmtId="0" fontId="1" fillId="0" borderId="0" xfId="1"/>
    <xf numFmtId="0" fontId="1" fillId="0" borderId="0" xfId="1" applyAlignment="1">
      <alignment horizontal="center" vertical="center"/>
    </xf>
    <xf numFmtId="0" fontId="0" fillId="0" borderId="0" xfId="1" applyFont="1"/>
    <xf numFmtId="164" fontId="1" fillId="0" borderId="0" xfId="1" applyNumberFormat="1" applyAlignment="1">
      <alignment vertical="center"/>
    </xf>
    <xf numFmtId="0" fontId="2" fillId="0" borderId="0" xfId="1" applyFont="1"/>
    <xf numFmtId="0" fontId="1" fillId="0" borderId="1" xfId="1" applyBorder="1"/>
    <xf numFmtId="0" fontId="1" fillId="0" borderId="2" xfId="1" applyBorder="1"/>
    <xf numFmtId="0" fontId="1" fillId="0" borderId="3" xfId="1" applyBorder="1"/>
    <xf numFmtId="0" fontId="1" fillId="0" borderId="4" xfId="1" applyBorder="1"/>
    <xf numFmtId="0" fontId="1" fillId="0" borderId="5" xfId="1" applyBorder="1"/>
    <xf numFmtId="0" fontId="1" fillId="0" borderId="6" xfId="1" applyBorder="1"/>
    <xf numFmtId="0" fontId="1" fillId="0" borderId="7" xfId="1" applyBorder="1"/>
    <xf numFmtId="0" fontId="1" fillId="0" borderId="8" xfId="1" applyBorder="1"/>
    <xf numFmtId="0" fontId="1" fillId="0" borderId="9" xfId="1" applyBorder="1"/>
    <xf numFmtId="0" fontId="1" fillId="0" borderId="10" xfId="1" applyBorder="1"/>
    <xf numFmtId="0" fontId="1" fillId="0" borderId="11" xfId="1" applyBorder="1"/>
    <xf numFmtId="0" fontId="1" fillId="0" borderId="12" xfId="1" applyBorder="1"/>
    <xf numFmtId="0" fontId="1" fillId="0" borderId="13" xfId="1" applyBorder="1"/>
    <xf numFmtId="0" fontId="1" fillId="0" borderId="14" xfId="1" applyBorder="1"/>
    <xf numFmtId="0" fontId="1" fillId="2" borderId="1" xfId="1" applyFill="1" applyBorder="1"/>
    <xf numFmtId="0" fontId="1" fillId="2" borderId="2" xfId="1" applyFill="1" applyBorder="1"/>
    <xf numFmtId="0" fontId="1" fillId="2" borderId="5" xfId="1" applyFill="1" applyBorder="1"/>
    <xf numFmtId="0" fontId="1" fillId="2" borderId="10" xfId="1" applyFill="1" applyBorder="1"/>
    <xf numFmtId="0" fontId="1" fillId="2" borderId="11" xfId="1" applyFill="1" applyBorder="1"/>
    <xf numFmtId="0" fontId="1" fillId="2" borderId="14" xfId="1" applyFill="1" applyBorder="1"/>
    <xf numFmtId="0" fontId="1" fillId="2" borderId="6" xfId="1" applyFill="1" applyBorder="1"/>
    <xf numFmtId="0" fontId="1" fillId="2" borderId="0" xfId="1" applyFill="1"/>
    <xf numFmtId="0" fontId="1" fillId="2" borderId="9" xfId="1" applyFill="1" applyBorder="1"/>
    <xf numFmtId="0" fontId="1" fillId="0" borderId="15" xfId="1" applyBorder="1"/>
    <xf numFmtId="0" fontId="1" fillId="0" borderId="16" xfId="1" applyBorder="1"/>
    <xf numFmtId="0" fontId="1" fillId="0" borderId="17" xfId="1" applyBorder="1"/>
  </cellXfs>
  <cellStyles count="2">
    <cellStyle name="Normal" xfId="0" builtinId="0"/>
    <cellStyle name="Normal 5 2" xfId="1" xr:uid="{B79987FE-19AC-4606-A8AD-22DDF75BE4C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activeX1.xml><?xml version="1.0" encoding="utf-8"?>
<ax:ocx xmlns:ax="http://schemas.microsoft.com/office/2006/activeX" xmlns:r="http://schemas.openxmlformats.org/officeDocument/2006/relationships" ax:classid="{D7053240-CE69-11CD-A777-00DD01143C57}" ax:persistence="persistStreamInit" r:id="rId1"/>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Performance constraint probability distribution</a:t>
            </a:r>
          </a:p>
        </c:rich>
      </c:tx>
      <c:overlay val="0"/>
      <c:spPr>
        <a:noFill/>
        <a:ln>
          <a:noFill/>
        </a:ln>
        <a:effectLst/>
      </c:spPr>
    </c:title>
    <c:autoTitleDeleted val="0"/>
    <c:plotArea>
      <c:layout/>
      <c:barChart>
        <c:barDir val="col"/>
        <c:grouping val="clustered"/>
        <c:varyColors val="0"/>
        <c:ser>
          <c:idx val="0"/>
          <c:order val="0"/>
          <c:spPr>
            <a:solidFill>
              <a:schemeClr val="accent1"/>
            </a:solidFill>
            <a:ln>
              <a:noFill/>
            </a:ln>
            <a:effectLst/>
          </c:spPr>
          <c:invertIfNegative val="0"/>
          <c:cat>
            <c:strRef>
              <c:f>'Matrix - Baseline Overall'!$C$3:$G$3</c:f>
              <c:strCache>
                <c:ptCount val="5"/>
                <c:pt idx="0">
                  <c:v>Very Low</c:v>
                </c:pt>
                <c:pt idx="1">
                  <c:v>Low</c:v>
                </c:pt>
                <c:pt idx="2">
                  <c:v>Moderate</c:v>
                </c:pt>
                <c:pt idx="3">
                  <c:v>High</c:v>
                </c:pt>
                <c:pt idx="4">
                  <c:v>Very High</c:v>
                </c:pt>
              </c:strCache>
            </c:strRef>
          </c:cat>
          <c:val>
            <c:numRef>
              <c:f>'Matrix - Baseline Overall'!$C$4:$G$4</c:f>
              <c:numCache>
                <c:formatCode>0.0000</c:formatCode>
                <c:ptCount val="5"/>
                <c:pt idx="0">
                  <c:v>0.2296364216049383</c:v>
                </c:pt>
                <c:pt idx="1">
                  <c:v>0.71822715679012361</c:v>
                </c:pt>
                <c:pt idx="2">
                  <c:v>5.2136421604938268E-2</c:v>
                </c:pt>
                <c:pt idx="3">
                  <c:v>0</c:v>
                </c:pt>
                <c:pt idx="4">
                  <c:v>0</c:v>
                </c:pt>
              </c:numCache>
            </c:numRef>
          </c:val>
          <c:extLst>
            <c:ext xmlns:c16="http://schemas.microsoft.com/office/drawing/2014/chart" uri="{C3380CC4-5D6E-409C-BE32-E72D297353CC}">
              <c16:uniqueId val="{00000000-B4D9-43E9-9502-BBC1EF15FAB0}"/>
            </c:ext>
          </c:extLst>
        </c:ser>
        <c:dLbls>
          <c:showLegendKey val="0"/>
          <c:showVal val="0"/>
          <c:showCatName val="0"/>
          <c:showSerName val="0"/>
          <c:showPercent val="0"/>
          <c:showBubbleSize val="0"/>
        </c:dLbls>
        <c:gapWidth val="219"/>
        <c:overlap val="-27"/>
        <c:axId val="543425280"/>
        <c:axId val="543426816"/>
      </c:barChart>
      <c:catAx>
        <c:axId val="5434252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3426816"/>
        <c:crosses val="autoZero"/>
        <c:auto val="0"/>
        <c:lblAlgn val="ctr"/>
        <c:lblOffset val="100"/>
        <c:noMultiLvlLbl val="0"/>
      </c:catAx>
      <c:valAx>
        <c:axId val="543426816"/>
        <c:scaling>
          <c:orientation val="minMax"/>
        </c:scaling>
        <c:delete val="0"/>
        <c:axPos val="l"/>
        <c:majorGridlines>
          <c:spPr>
            <a:ln w="9525" cap="flat" cmpd="sng" algn="ctr">
              <a:solidFill>
                <a:schemeClr val="tx1">
                  <a:lumMod val="15000"/>
                  <a:lumOff val="85000"/>
                </a:schemeClr>
              </a:solidFill>
              <a:round/>
            </a:ln>
            <a:effectLst/>
          </c:spPr>
        </c:majorGridlines>
        <c:numFmt formatCode="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342528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8</xdr:col>
      <xdr:colOff>85724</xdr:colOff>
      <xdr:row>1</xdr:row>
      <xdr:rowOff>56504</xdr:rowOff>
    </xdr:from>
    <xdr:to>
      <xdr:col>19</xdr:col>
      <xdr:colOff>243416</xdr:colOff>
      <xdr:row>8</xdr:row>
      <xdr:rowOff>129153</xdr:rowOff>
    </xdr:to>
    <xdr:graphicFrame macro="">
      <xdr:nvGraphicFramePr>
        <xdr:cNvPr id="2" name="Chart 1">
          <a:extLst>
            <a:ext uri="{FF2B5EF4-FFF2-40B4-BE49-F238E27FC236}">
              <a16:creationId xmlns:a16="http://schemas.microsoft.com/office/drawing/2014/main" id="{BD768686-02B3-47CC-B551-95787F269F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171450</xdr:colOff>
      <xdr:row>0</xdr:row>
      <xdr:rowOff>41275</xdr:rowOff>
    </xdr:from>
    <xdr:to>
      <xdr:col>27</xdr:col>
      <xdr:colOff>0</xdr:colOff>
      <xdr:row>1</xdr:row>
      <xdr:rowOff>10584</xdr:rowOff>
    </xdr:to>
    <xdr:sp macro="" textlink="">
      <xdr:nvSpPr>
        <xdr:cNvPr id="3" name="TextBox 2">
          <a:extLst>
            <a:ext uri="{FF2B5EF4-FFF2-40B4-BE49-F238E27FC236}">
              <a16:creationId xmlns:a16="http://schemas.microsoft.com/office/drawing/2014/main" id="{30086F68-BCCF-45B6-AC5A-2B428E72FFAA}"/>
            </a:ext>
          </a:extLst>
        </xdr:cNvPr>
        <xdr:cNvSpPr txBox="1"/>
      </xdr:nvSpPr>
      <xdr:spPr>
        <a:xfrm>
          <a:off x="171450" y="41275"/>
          <a:ext cx="13582650" cy="99800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400" b="1"/>
            <a:t>Bayesian Network providing a view of how the ratings of the six performance indicators combine to limit the overall value of a measure or an IPM package</a:t>
          </a:r>
        </a:p>
        <a:p>
          <a:r>
            <a:rPr lang="en-GB" sz="1100" baseline="0">
              <a:solidFill>
                <a:schemeClr val="dk1"/>
              </a:solidFill>
              <a:effectLst/>
              <a:latin typeface="+mn-lt"/>
              <a:ea typeface="+mn-ea"/>
              <a:cs typeface="+mn-cs"/>
            </a:rPr>
            <a:t>The network structure introduces a weighting on the effect of an indicator on the overall result. Three subgroupings have been defined and Sub-group 2, Health and Environment, has the same weight as Sub-group 3, Cost and Diffiuclty. These two sub-groups combined have the same weight as Sub-group 1, Losses. In obtaining a combined rating of two indicators, all child CPTs use the assumption that the resulting combined rating is equally likely to lie anywhere between the ratings of the two inputs.In this way, highly divergent ratings from different indicators are reflected by higher final variance.</a:t>
          </a:r>
        </a:p>
        <a:p>
          <a:r>
            <a:rPr lang="en-GB" sz="1100" baseline="0">
              <a:solidFill>
                <a:schemeClr val="dk1"/>
              </a:solidFill>
              <a:effectLst/>
              <a:latin typeface="+mn-lt"/>
              <a:ea typeface="+mn-ea"/>
              <a:cs typeface="+mn-cs"/>
            </a:rPr>
            <a:t>John Holt and Adrian Leach, Imperial College    </a:t>
          </a:r>
          <a:endParaRPr lang="en-GB">
            <a:effectLst/>
          </a:endParaRPr>
        </a:p>
      </xdr:txBody>
    </xdr:sp>
    <xdr:clientData/>
  </xdr:twoCellAnchor>
  <mc:AlternateContent xmlns:mc="http://schemas.openxmlformats.org/markup-compatibility/2006">
    <mc:Choice xmlns:a14="http://schemas.microsoft.com/office/drawing/2010/main" Requires="a14">
      <xdr:twoCellAnchor editAs="oneCell">
        <xdr:from>
          <xdr:col>24</xdr:col>
          <xdr:colOff>152400</xdr:colOff>
          <xdr:row>2</xdr:row>
          <xdr:rowOff>76200</xdr:rowOff>
        </xdr:from>
        <xdr:to>
          <xdr:col>27</xdr:col>
          <xdr:colOff>19050</xdr:colOff>
          <xdr:row>5</xdr:row>
          <xdr:rowOff>19050</xdr:rowOff>
        </xdr:to>
        <xdr:sp macro="" textlink="">
          <xdr:nvSpPr>
            <xdr:cNvPr id="1025" name="BackToMain" hidden="1">
              <a:extLst>
                <a:ext uri="{63B3BB69-23CF-44E3-9099-C40C66FF867C}">
                  <a14:compatExt spid="_x0000_s1025"/>
                </a:ext>
                <a:ext uri="{FF2B5EF4-FFF2-40B4-BE49-F238E27FC236}">
                  <a16:creationId xmlns:a16="http://schemas.microsoft.com/office/drawing/2014/main" id="{50E250AE-0EB3-419C-A722-469E2E37CB7E}"/>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https://imperiallondon-my.sharepoint.com/personal/awl_ic_ac_uk/Documents/ADOPT-IPM%20Elicitations/2024%2020250213%20Agrobio%20-%20Tomato%20mutants%202/03%20Package%20Assessment%20Tool%20and%20Migration%20Template/ADOPT%20IPM%20Assessment%20Tool%20Template%2020250227a%20-%20AGROBIO%20Tom%20mutants.xlsm" TargetMode="External"/><Relationship Id="rId2" Type="http://schemas.microsoft.com/office/2019/04/relationships/externalLinkLongPath" Target="https://imperiallondon-my.sharepoint.com/personal/awl_ic_ac_uk/Documents/ADOPT-IPM%20Elicitations/2024%2020250213%20Agrobio%20-%20Tomato%20mutants%202/03%20Package%20Assessment%20Tool%20and%20Migration%20Template/ADOPT%20IPM%20Assessment%20Tool%20Template%2020250227a%20-%20AGROBIO%20Tom%20mutants.xlsm?628EDC8A" TargetMode="External"/><Relationship Id="rId1" Type="http://schemas.openxmlformats.org/officeDocument/2006/relationships/externalLinkPath" Target="file:///\\628EDC8A\ADOPT%20IPM%20Assessment%20Tool%20Template%2020250227a%20-%20AGROBIO%20Tom%20mutants.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3"/>
    </xxl21:alternateUrls>
    <sheetNames>
      <sheetName val="Main"/>
      <sheetName val="Main - PEA"/>
      <sheetName val="Integration Inputs"/>
      <sheetName val="UK Deflator"/>
      <sheetName val="US Deflator"/>
      <sheetName val="German Deflator"/>
      <sheetName val="Chemical EIQ and Costs"/>
      <sheetName val="GDP Pop Data"/>
      <sheetName val="Table of Hazards (AI only)"/>
      <sheetName val="Table of Risks (Field)"/>
      <sheetName val="Dataframe - Kiwi"/>
      <sheetName val="Losses - SWD Orch LMH Pressure"/>
      <sheetName val="Dataframe - Peach"/>
      <sheetName val="Dataframe - Lettuce"/>
      <sheetName val="Dataframe - Lettuce France"/>
      <sheetName val="Elicitation Dataframe"/>
      <sheetName val="Dataframe - Lettuce Spain"/>
      <sheetName val="Dataframe - Tomato"/>
      <sheetName val="Dataframe - Tomato France"/>
      <sheetName val="Dataframe - Tomato Italy"/>
      <sheetName val="Dataframe - Tomato Spain"/>
      <sheetName val="Dataframe - Grapes"/>
      <sheetName val="Dataframe - Grapes France"/>
      <sheetName val="Dataframe - Grapes Italy"/>
      <sheetName val="Dataframe - Grapes Spain"/>
      <sheetName val="Measures by Country"/>
      <sheetName val="Dropdown lists"/>
      <sheetName val="Weight multi-pest importance"/>
      <sheetName val="Part A Background information"/>
      <sheetName val="Part B Selection of measures"/>
      <sheetName val="Part B Input elicitation data"/>
      <sheetName val="Uncertainy tables (Beta)"/>
      <sheetName val="Part C Indicator Summary"/>
      <sheetName val="Matrix - Baseline Losses"/>
      <sheetName val="Matrix - Baseline Health"/>
      <sheetName val="Matrix - Baseline Direct Cost"/>
      <sheetName val="Matrix - Baseline Environment"/>
      <sheetName val="Matrix - Baseline Time and Man"/>
      <sheetName val="Matrix - Baseline Scale and Ind"/>
      <sheetName val="Matrix - Baseline Overall"/>
      <sheetName val="Matrix - ADOPT Losses"/>
      <sheetName val="Matrix - ADOPT Health"/>
      <sheetName val="Matrix - ADOPT Direct Cost"/>
      <sheetName val="Matrix - ADOPT Environment"/>
      <sheetName val="Matrix - ADOPT Time and Man"/>
      <sheetName val="Matrix - ADOPT Scale and Ind"/>
      <sheetName val="Matrix - ADOPT Overall"/>
      <sheetName val="BN Structure diagram"/>
      <sheetName val="Part E PEA Summary"/>
      <sheetName val="Things to track"/>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row r="3">
          <cell r="C3" t="str">
            <v>Very Low</v>
          </cell>
          <cell r="D3" t="str">
            <v>Low</v>
          </cell>
          <cell r="E3" t="str">
            <v>Moderate</v>
          </cell>
          <cell r="F3" t="str">
            <v>High</v>
          </cell>
          <cell r="G3" t="str">
            <v>Very High</v>
          </cell>
        </row>
        <row r="4">
          <cell r="C4">
            <v>0.2296364216049383</v>
          </cell>
          <cell r="D4">
            <v>0.71822715679012361</v>
          </cell>
          <cell r="E4">
            <v>5.2136421604938268E-2</v>
          </cell>
          <cell r="F4">
            <v>0</v>
          </cell>
          <cell r="G4">
            <v>0</v>
          </cell>
        </row>
      </sheetData>
      <sheetData sheetId="40"/>
      <sheetData sheetId="41"/>
      <sheetData sheetId="42"/>
      <sheetData sheetId="43"/>
      <sheetData sheetId="44"/>
      <sheetData sheetId="45"/>
      <sheetData sheetId="46"/>
      <sheetData sheetId="47"/>
      <sheetData sheetId="48"/>
      <sheetData sheetId="49"/>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image" Target="../media/image1.emf"/><Relationship Id="rId4" Type="http://schemas.openxmlformats.org/officeDocument/2006/relationships/control" Target="../activeX/activeX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C1997B-A1D6-47FC-B9E7-73B26AEA0A8C}">
  <sheetPr codeName="Sheet33"/>
  <dimension ref="A1:AA62"/>
  <sheetViews>
    <sheetView showGridLines="0" tabSelected="1" zoomScale="80" zoomScaleNormal="80" workbookViewId="0">
      <selection activeCell="C4" sqref="C4"/>
    </sheetView>
  </sheetViews>
  <sheetFormatPr defaultColWidth="9.28515625" defaultRowHeight="15" x14ac:dyDescent="0.25"/>
  <cols>
    <col min="1" max="1" width="30.7109375" style="1" customWidth="1"/>
    <col min="2" max="2" width="10.5703125" style="1" customWidth="1"/>
    <col min="3" max="7" width="10" style="1" customWidth="1"/>
    <col min="8" max="8" width="6.42578125" style="1" customWidth="1"/>
    <col min="9" max="27" width="5.7109375" style="1" customWidth="1"/>
    <col min="28" max="16384" width="9.28515625" style="1"/>
  </cols>
  <sheetData>
    <row r="1" spans="1:27" ht="81" customHeight="1" x14ac:dyDescent="0.25"/>
    <row r="3" spans="1:27" x14ac:dyDescent="0.25">
      <c r="A3" s="1" t="s">
        <v>0</v>
      </c>
      <c r="C3" s="2" t="s">
        <v>1</v>
      </c>
      <c r="D3" s="2" t="s">
        <v>2</v>
      </c>
      <c r="E3" s="2" t="s">
        <v>3</v>
      </c>
      <c r="F3" s="2" t="s">
        <v>4</v>
      </c>
      <c r="G3" s="2" t="s">
        <v>5</v>
      </c>
    </row>
    <row r="4" spans="1:27" x14ac:dyDescent="0.25">
      <c r="A4" s="3" t="s">
        <v>6</v>
      </c>
      <c r="C4" s="4">
        <f>C62</f>
        <v>0.2296364216049383</v>
      </c>
      <c r="D4" s="4">
        <f>D62</f>
        <v>0.71822715679012361</v>
      </c>
      <c r="E4" s="4">
        <f>E62</f>
        <v>5.2136421604938268E-2</v>
      </c>
      <c r="F4" s="4">
        <f>F62</f>
        <v>0</v>
      </c>
      <c r="G4" s="4">
        <f>G62</f>
        <v>0</v>
      </c>
    </row>
    <row r="10" spans="1:27" x14ac:dyDescent="0.25">
      <c r="A10" s="5" t="s">
        <v>7</v>
      </c>
      <c r="C10" s="6">
        <v>1</v>
      </c>
      <c r="D10" s="7">
        <v>0.5</v>
      </c>
      <c r="E10" s="7">
        <v>0.33333333333333298</v>
      </c>
      <c r="F10" s="7">
        <v>0.25</v>
      </c>
      <c r="G10" s="8">
        <v>0.2</v>
      </c>
      <c r="H10" s="9">
        <v>0.5</v>
      </c>
      <c r="I10" s="7">
        <v>0</v>
      </c>
      <c r="J10" s="7">
        <v>0</v>
      </c>
      <c r="K10" s="7">
        <v>0</v>
      </c>
      <c r="L10" s="8">
        <v>0</v>
      </c>
      <c r="M10" s="9">
        <v>0.33333333333333298</v>
      </c>
      <c r="N10" s="7">
        <v>0</v>
      </c>
      <c r="O10" s="7">
        <v>0</v>
      </c>
      <c r="P10" s="7">
        <v>0</v>
      </c>
      <c r="Q10" s="8">
        <v>0</v>
      </c>
      <c r="R10" s="9">
        <v>0.25</v>
      </c>
      <c r="S10" s="7">
        <v>0</v>
      </c>
      <c r="T10" s="7">
        <v>0</v>
      </c>
      <c r="U10" s="7">
        <v>0</v>
      </c>
      <c r="V10" s="8">
        <v>0</v>
      </c>
      <c r="W10" s="7">
        <v>0.2</v>
      </c>
      <c r="X10" s="7">
        <v>0</v>
      </c>
      <c r="Y10" s="7">
        <v>0</v>
      </c>
      <c r="Z10" s="7">
        <v>0</v>
      </c>
      <c r="AA10" s="10">
        <v>0</v>
      </c>
    </row>
    <row r="11" spans="1:27" x14ac:dyDescent="0.25">
      <c r="A11" s="3"/>
      <c r="C11" s="11">
        <v>0</v>
      </c>
      <c r="D11" s="1">
        <v>0.5</v>
      </c>
      <c r="E11" s="1">
        <v>0.33333333333333298</v>
      </c>
      <c r="F11" s="1">
        <v>0.25</v>
      </c>
      <c r="G11" s="12">
        <v>0.2</v>
      </c>
      <c r="H11" s="13">
        <v>0.5</v>
      </c>
      <c r="I11" s="1">
        <v>1</v>
      </c>
      <c r="J11" s="1">
        <v>0.5</v>
      </c>
      <c r="K11" s="1">
        <v>0.33333333333333298</v>
      </c>
      <c r="L11" s="12">
        <v>0.25</v>
      </c>
      <c r="M11" s="13">
        <v>0.33333333333333298</v>
      </c>
      <c r="N11" s="1">
        <v>0.5</v>
      </c>
      <c r="O11" s="1">
        <v>0</v>
      </c>
      <c r="P11" s="1">
        <v>0</v>
      </c>
      <c r="Q11" s="12">
        <v>0</v>
      </c>
      <c r="R11" s="13">
        <v>0.25</v>
      </c>
      <c r="S11" s="1">
        <v>0.33333333333333298</v>
      </c>
      <c r="T11" s="1">
        <v>0</v>
      </c>
      <c r="U11" s="1">
        <v>0</v>
      </c>
      <c r="V11" s="12">
        <v>0</v>
      </c>
      <c r="W11" s="1">
        <v>0.2</v>
      </c>
      <c r="X11" s="1">
        <v>0.25</v>
      </c>
      <c r="Y11" s="1">
        <v>0</v>
      </c>
      <c r="Z11" s="1">
        <v>0</v>
      </c>
      <c r="AA11" s="14">
        <v>0</v>
      </c>
    </row>
    <row r="12" spans="1:27" x14ac:dyDescent="0.25">
      <c r="C12" s="11">
        <v>0</v>
      </c>
      <c r="D12" s="1">
        <v>0</v>
      </c>
      <c r="E12" s="1">
        <v>0.33333333333333298</v>
      </c>
      <c r="F12" s="1">
        <v>0.25</v>
      </c>
      <c r="G12" s="12">
        <v>0.2</v>
      </c>
      <c r="H12" s="13">
        <v>0</v>
      </c>
      <c r="I12" s="1">
        <v>0</v>
      </c>
      <c r="J12" s="1">
        <v>0.5</v>
      </c>
      <c r="K12" s="1">
        <v>0.33333333333333298</v>
      </c>
      <c r="L12" s="12">
        <v>0.25</v>
      </c>
      <c r="M12" s="13">
        <v>0.33333333333333298</v>
      </c>
      <c r="N12" s="1">
        <v>0.5</v>
      </c>
      <c r="O12" s="1">
        <v>1</v>
      </c>
      <c r="P12" s="1">
        <v>0.5</v>
      </c>
      <c r="Q12" s="12">
        <v>0.33333333333333298</v>
      </c>
      <c r="R12" s="13">
        <v>0.25</v>
      </c>
      <c r="S12" s="1">
        <v>0.33333333333333298</v>
      </c>
      <c r="T12" s="1">
        <v>0.5</v>
      </c>
      <c r="U12" s="1">
        <v>0</v>
      </c>
      <c r="V12" s="12">
        <v>0</v>
      </c>
      <c r="W12" s="1">
        <v>0.2</v>
      </c>
      <c r="X12" s="1">
        <v>0.25</v>
      </c>
      <c r="Y12" s="1">
        <v>0.33333333333333298</v>
      </c>
      <c r="Z12" s="1">
        <v>0</v>
      </c>
      <c r="AA12" s="14">
        <v>0</v>
      </c>
    </row>
    <row r="13" spans="1:27" x14ac:dyDescent="0.25">
      <c r="C13" s="11">
        <v>0</v>
      </c>
      <c r="D13" s="1">
        <v>0</v>
      </c>
      <c r="E13" s="1">
        <v>0</v>
      </c>
      <c r="F13" s="1">
        <v>0.25</v>
      </c>
      <c r="G13" s="12">
        <v>0.2</v>
      </c>
      <c r="H13" s="13">
        <v>0</v>
      </c>
      <c r="I13" s="1">
        <v>0</v>
      </c>
      <c r="J13" s="1">
        <v>0</v>
      </c>
      <c r="K13" s="1">
        <v>0.33333333333333298</v>
      </c>
      <c r="L13" s="12">
        <v>0.25</v>
      </c>
      <c r="M13" s="13">
        <v>0</v>
      </c>
      <c r="N13" s="1">
        <v>0</v>
      </c>
      <c r="O13" s="1">
        <v>0</v>
      </c>
      <c r="P13" s="1">
        <v>0.5</v>
      </c>
      <c r="Q13" s="12">
        <v>0.33333333333333298</v>
      </c>
      <c r="R13" s="13">
        <v>0.25</v>
      </c>
      <c r="S13" s="1">
        <v>0.33333333333333298</v>
      </c>
      <c r="T13" s="1">
        <v>0.5</v>
      </c>
      <c r="U13" s="1">
        <v>1</v>
      </c>
      <c r="V13" s="12">
        <v>0.5</v>
      </c>
      <c r="W13" s="1">
        <v>0.2</v>
      </c>
      <c r="X13" s="1">
        <v>0.25</v>
      </c>
      <c r="Y13" s="1">
        <v>0.33333333333333298</v>
      </c>
      <c r="Z13" s="1">
        <v>0.5</v>
      </c>
      <c r="AA13" s="14">
        <v>0</v>
      </c>
    </row>
    <row r="14" spans="1:27" x14ac:dyDescent="0.25">
      <c r="C14" s="15">
        <v>0</v>
      </c>
      <c r="D14" s="16">
        <v>0</v>
      </c>
      <c r="E14" s="16">
        <v>0</v>
      </c>
      <c r="F14" s="16">
        <v>0</v>
      </c>
      <c r="G14" s="17">
        <v>0.2</v>
      </c>
      <c r="H14" s="18">
        <v>0</v>
      </c>
      <c r="I14" s="16">
        <v>0</v>
      </c>
      <c r="J14" s="16">
        <v>0</v>
      </c>
      <c r="K14" s="16">
        <v>0</v>
      </c>
      <c r="L14" s="17">
        <v>0.25</v>
      </c>
      <c r="M14" s="18">
        <v>0</v>
      </c>
      <c r="N14" s="16">
        <v>0</v>
      </c>
      <c r="O14" s="16">
        <v>0</v>
      </c>
      <c r="P14" s="16">
        <v>0</v>
      </c>
      <c r="Q14" s="17">
        <v>0.33333333333333298</v>
      </c>
      <c r="R14" s="18">
        <v>0</v>
      </c>
      <c r="S14" s="16">
        <v>0</v>
      </c>
      <c r="T14" s="16">
        <v>0</v>
      </c>
      <c r="U14" s="16">
        <v>0</v>
      </c>
      <c r="V14" s="17">
        <v>0.5</v>
      </c>
      <c r="W14" s="16">
        <v>0.2</v>
      </c>
      <c r="X14" s="16">
        <v>0.25</v>
      </c>
      <c r="Y14" s="16">
        <v>0.33333333333333298</v>
      </c>
      <c r="Z14" s="16">
        <v>0.5</v>
      </c>
      <c r="AA14" s="19">
        <v>1</v>
      </c>
    </row>
    <row r="16" spans="1:27" x14ac:dyDescent="0.25">
      <c r="C16" s="1" t="s">
        <v>1</v>
      </c>
      <c r="D16" s="1" t="s">
        <v>2</v>
      </c>
      <c r="E16" s="1" t="s">
        <v>3</v>
      </c>
      <c r="F16" s="1" t="s">
        <v>4</v>
      </c>
      <c r="G16" s="1" t="s">
        <v>5</v>
      </c>
    </row>
    <row r="17" spans="1:27" x14ac:dyDescent="0.25">
      <c r="A17" s="3" t="s">
        <v>8</v>
      </c>
      <c r="C17" s="20">
        <v>7.0000000000000007E-2</v>
      </c>
      <c r="D17" s="21">
        <v>0.8</v>
      </c>
      <c r="E17" s="21">
        <v>0.13</v>
      </c>
      <c r="F17" s="21">
        <v>0</v>
      </c>
      <c r="G17" s="22">
        <v>0</v>
      </c>
      <c r="H17" s="1" t="str">
        <f>IF(SUM(C17:G17)&lt;&gt;1,"ERROR - values must sum to 1"," " )</f>
        <v xml:space="preserve"> </v>
      </c>
    </row>
    <row r="18" spans="1:27" x14ac:dyDescent="0.25">
      <c r="A18" s="3" t="s">
        <v>9</v>
      </c>
      <c r="C18" s="23">
        <v>7.0000000000000007E-2</v>
      </c>
      <c r="D18" s="24">
        <v>0.8</v>
      </c>
      <c r="E18" s="24">
        <v>0.13</v>
      </c>
      <c r="F18" s="24">
        <v>0</v>
      </c>
      <c r="G18" s="25">
        <v>0</v>
      </c>
      <c r="H18" s="1" t="str">
        <f>IF(SUM(C18:G18)&lt;&gt;1,"ERROR - values must sum to 1"," " )</f>
        <v xml:space="preserve"> </v>
      </c>
    </row>
    <row r="19" spans="1:27" x14ac:dyDescent="0.25">
      <c r="C19" s="11">
        <f>$C17</f>
        <v>7.0000000000000007E-2</v>
      </c>
      <c r="D19" s="1">
        <f>$C17</f>
        <v>7.0000000000000007E-2</v>
      </c>
      <c r="E19" s="1">
        <f>$C17</f>
        <v>7.0000000000000007E-2</v>
      </c>
      <c r="F19" s="1">
        <f>$C17</f>
        <v>7.0000000000000007E-2</v>
      </c>
      <c r="G19" s="1">
        <f>$C17</f>
        <v>7.0000000000000007E-2</v>
      </c>
      <c r="H19" s="7">
        <f>$D17</f>
        <v>0.8</v>
      </c>
      <c r="I19" s="7">
        <f>$D17</f>
        <v>0.8</v>
      </c>
      <c r="J19" s="7">
        <f>$D17</f>
        <v>0.8</v>
      </c>
      <c r="K19" s="7">
        <f>$D17</f>
        <v>0.8</v>
      </c>
      <c r="L19" s="7">
        <f>$D17</f>
        <v>0.8</v>
      </c>
      <c r="M19" s="7">
        <f>$E17</f>
        <v>0.13</v>
      </c>
      <c r="N19" s="7">
        <f>$E17</f>
        <v>0.13</v>
      </c>
      <c r="O19" s="7">
        <f>$E17</f>
        <v>0.13</v>
      </c>
      <c r="P19" s="7">
        <f>$E17</f>
        <v>0.13</v>
      </c>
      <c r="Q19" s="7">
        <f>$E17</f>
        <v>0.13</v>
      </c>
      <c r="R19" s="7">
        <f>$F17</f>
        <v>0</v>
      </c>
      <c r="S19" s="7">
        <f>$F17</f>
        <v>0</v>
      </c>
      <c r="T19" s="7">
        <f>$F17</f>
        <v>0</v>
      </c>
      <c r="U19" s="7">
        <f>$F17</f>
        <v>0</v>
      </c>
      <c r="V19" s="7">
        <f>$F17</f>
        <v>0</v>
      </c>
      <c r="W19" s="7">
        <f>$G17</f>
        <v>0</v>
      </c>
      <c r="X19" s="7">
        <f>$G17</f>
        <v>0</v>
      </c>
      <c r="Y19" s="7">
        <f>$G17</f>
        <v>0</v>
      </c>
      <c r="Z19" s="7">
        <f>$G17</f>
        <v>0</v>
      </c>
      <c r="AA19" s="10">
        <f>$G17</f>
        <v>0</v>
      </c>
    </row>
    <row r="20" spans="1:27" x14ac:dyDescent="0.25">
      <c r="C20" s="15">
        <f>$C18</f>
        <v>7.0000000000000007E-2</v>
      </c>
      <c r="D20" s="16">
        <f>$D18</f>
        <v>0.8</v>
      </c>
      <c r="E20" s="16">
        <f>$E18</f>
        <v>0.13</v>
      </c>
      <c r="F20" s="16">
        <f>$F18</f>
        <v>0</v>
      </c>
      <c r="G20" s="16">
        <f>$G18</f>
        <v>0</v>
      </c>
      <c r="H20" s="16">
        <f>$C18</f>
        <v>7.0000000000000007E-2</v>
      </c>
      <c r="I20" s="16">
        <f>$D18</f>
        <v>0.8</v>
      </c>
      <c r="J20" s="16">
        <f>$E18</f>
        <v>0.13</v>
      </c>
      <c r="K20" s="16">
        <f>$F18</f>
        <v>0</v>
      </c>
      <c r="L20" s="16">
        <f>$G18</f>
        <v>0</v>
      </c>
      <c r="M20" s="16">
        <f>$C18</f>
        <v>7.0000000000000007E-2</v>
      </c>
      <c r="N20" s="16">
        <f>$D18</f>
        <v>0.8</v>
      </c>
      <c r="O20" s="16">
        <f>$E18</f>
        <v>0.13</v>
      </c>
      <c r="P20" s="16">
        <f>$F18</f>
        <v>0</v>
      </c>
      <c r="Q20" s="16">
        <f>$G18</f>
        <v>0</v>
      </c>
      <c r="R20" s="16">
        <f>$C18</f>
        <v>7.0000000000000007E-2</v>
      </c>
      <c r="S20" s="16">
        <f>$D18</f>
        <v>0.8</v>
      </c>
      <c r="T20" s="16">
        <f>$E18</f>
        <v>0.13</v>
      </c>
      <c r="U20" s="16">
        <f>$F18</f>
        <v>0</v>
      </c>
      <c r="V20" s="16">
        <f>$G18</f>
        <v>0</v>
      </c>
      <c r="W20" s="16">
        <f>$C18</f>
        <v>7.0000000000000007E-2</v>
      </c>
      <c r="X20" s="16">
        <f>$D18</f>
        <v>0.8</v>
      </c>
      <c r="Y20" s="16">
        <f>$E18</f>
        <v>0.13</v>
      </c>
      <c r="Z20" s="16">
        <f>$F18</f>
        <v>0</v>
      </c>
      <c r="AA20" s="19">
        <f>$G18</f>
        <v>0</v>
      </c>
    </row>
    <row r="21" spans="1:27" x14ac:dyDescent="0.25">
      <c r="C21" s="6">
        <f>C$19*C$20*C$10</f>
        <v>4.9000000000000007E-3</v>
      </c>
      <c r="D21" s="7">
        <f t="shared" ref="D21:AA21" si="0">D$19*D$20*D$10</f>
        <v>2.8000000000000004E-2</v>
      </c>
      <c r="E21" s="7">
        <f t="shared" si="0"/>
        <v>3.0333333333333302E-3</v>
      </c>
      <c r="F21" s="7">
        <f t="shared" si="0"/>
        <v>0</v>
      </c>
      <c r="G21" s="7">
        <f t="shared" si="0"/>
        <v>0</v>
      </c>
      <c r="H21" s="7">
        <f t="shared" si="0"/>
        <v>2.8000000000000004E-2</v>
      </c>
      <c r="I21" s="7">
        <f t="shared" si="0"/>
        <v>0</v>
      </c>
      <c r="J21" s="7">
        <f t="shared" si="0"/>
        <v>0</v>
      </c>
      <c r="K21" s="7">
        <f t="shared" si="0"/>
        <v>0</v>
      </c>
      <c r="L21" s="7">
        <f t="shared" si="0"/>
        <v>0</v>
      </c>
      <c r="M21" s="7">
        <f t="shared" si="0"/>
        <v>3.0333333333333302E-3</v>
      </c>
      <c r="N21" s="7">
        <f t="shared" si="0"/>
        <v>0</v>
      </c>
      <c r="O21" s="7">
        <f t="shared" si="0"/>
        <v>0</v>
      </c>
      <c r="P21" s="7">
        <f t="shared" si="0"/>
        <v>0</v>
      </c>
      <c r="Q21" s="7">
        <f t="shared" si="0"/>
        <v>0</v>
      </c>
      <c r="R21" s="7">
        <f t="shared" si="0"/>
        <v>0</v>
      </c>
      <c r="S21" s="7">
        <f t="shared" si="0"/>
        <v>0</v>
      </c>
      <c r="T21" s="7">
        <f t="shared" si="0"/>
        <v>0</v>
      </c>
      <c r="U21" s="7">
        <f t="shared" si="0"/>
        <v>0</v>
      </c>
      <c r="V21" s="7">
        <f t="shared" si="0"/>
        <v>0</v>
      </c>
      <c r="W21" s="7">
        <f t="shared" si="0"/>
        <v>0</v>
      </c>
      <c r="X21" s="7">
        <f t="shared" si="0"/>
        <v>0</v>
      </c>
      <c r="Y21" s="7">
        <f t="shared" si="0"/>
        <v>0</v>
      </c>
      <c r="Z21" s="7">
        <f t="shared" si="0"/>
        <v>0</v>
      </c>
      <c r="AA21" s="10">
        <f t="shared" si="0"/>
        <v>0</v>
      </c>
    </row>
    <row r="22" spans="1:27" x14ac:dyDescent="0.25">
      <c r="C22" s="11">
        <f>C$19*C$20*C$11</f>
        <v>0</v>
      </c>
      <c r="D22" s="1">
        <f t="shared" ref="D22:AA22" si="1">D$19*D$20*D$11</f>
        <v>2.8000000000000004E-2</v>
      </c>
      <c r="E22" s="1">
        <f t="shared" si="1"/>
        <v>3.0333333333333302E-3</v>
      </c>
      <c r="F22" s="1">
        <f t="shared" si="1"/>
        <v>0</v>
      </c>
      <c r="G22" s="1">
        <f t="shared" si="1"/>
        <v>0</v>
      </c>
      <c r="H22" s="1">
        <f t="shared" si="1"/>
        <v>2.8000000000000004E-2</v>
      </c>
      <c r="I22" s="1">
        <f t="shared" si="1"/>
        <v>0.64000000000000012</v>
      </c>
      <c r="J22" s="1">
        <f t="shared" si="1"/>
        <v>5.2000000000000005E-2</v>
      </c>
      <c r="K22" s="1">
        <f t="shared" si="1"/>
        <v>0</v>
      </c>
      <c r="L22" s="1">
        <f t="shared" si="1"/>
        <v>0</v>
      </c>
      <c r="M22" s="1">
        <f t="shared" si="1"/>
        <v>3.0333333333333302E-3</v>
      </c>
      <c r="N22" s="1">
        <f t="shared" si="1"/>
        <v>5.2000000000000005E-2</v>
      </c>
      <c r="O22" s="1">
        <f t="shared" si="1"/>
        <v>0</v>
      </c>
      <c r="P22" s="1">
        <f t="shared" si="1"/>
        <v>0</v>
      </c>
      <c r="Q22" s="1">
        <f t="shared" si="1"/>
        <v>0</v>
      </c>
      <c r="R22" s="1">
        <f t="shared" si="1"/>
        <v>0</v>
      </c>
      <c r="S22" s="1">
        <f t="shared" si="1"/>
        <v>0</v>
      </c>
      <c r="T22" s="1">
        <f t="shared" si="1"/>
        <v>0</v>
      </c>
      <c r="U22" s="1">
        <f t="shared" si="1"/>
        <v>0</v>
      </c>
      <c r="V22" s="1">
        <f t="shared" si="1"/>
        <v>0</v>
      </c>
      <c r="W22" s="1">
        <f t="shared" si="1"/>
        <v>0</v>
      </c>
      <c r="X22" s="1">
        <f t="shared" si="1"/>
        <v>0</v>
      </c>
      <c r="Y22" s="1">
        <f t="shared" si="1"/>
        <v>0</v>
      </c>
      <c r="Z22" s="1">
        <f t="shared" si="1"/>
        <v>0</v>
      </c>
      <c r="AA22" s="14">
        <f t="shared" si="1"/>
        <v>0</v>
      </c>
    </row>
    <row r="23" spans="1:27" x14ac:dyDescent="0.25">
      <c r="C23" s="11">
        <f>C$19*C$20*C$12</f>
        <v>0</v>
      </c>
      <c r="D23" s="1">
        <f t="shared" ref="D23:AA23" si="2">D$19*D$20*D$12</f>
        <v>0</v>
      </c>
      <c r="E23" s="1">
        <f t="shared" si="2"/>
        <v>3.0333333333333302E-3</v>
      </c>
      <c r="F23" s="1">
        <f t="shared" si="2"/>
        <v>0</v>
      </c>
      <c r="G23" s="1">
        <f t="shared" si="2"/>
        <v>0</v>
      </c>
      <c r="H23" s="1">
        <f t="shared" si="2"/>
        <v>0</v>
      </c>
      <c r="I23" s="1">
        <f t="shared" si="2"/>
        <v>0</v>
      </c>
      <c r="J23" s="1">
        <f t="shared" si="2"/>
        <v>5.2000000000000005E-2</v>
      </c>
      <c r="K23" s="1">
        <f t="shared" si="2"/>
        <v>0</v>
      </c>
      <c r="L23" s="1">
        <f t="shared" si="2"/>
        <v>0</v>
      </c>
      <c r="M23" s="1">
        <f t="shared" si="2"/>
        <v>3.0333333333333302E-3</v>
      </c>
      <c r="N23" s="1">
        <f t="shared" si="2"/>
        <v>5.2000000000000005E-2</v>
      </c>
      <c r="O23" s="1">
        <f t="shared" si="2"/>
        <v>1.6900000000000002E-2</v>
      </c>
      <c r="P23" s="1">
        <f t="shared" si="2"/>
        <v>0</v>
      </c>
      <c r="Q23" s="1">
        <f t="shared" si="2"/>
        <v>0</v>
      </c>
      <c r="R23" s="1">
        <f t="shared" si="2"/>
        <v>0</v>
      </c>
      <c r="S23" s="1">
        <f t="shared" si="2"/>
        <v>0</v>
      </c>
      <c r="T23" s="1">
        <f t="shared" si="2"/>
        <v>0</v>
      </c>
      <c r="U23" s="1">
        <f t="shared" si="2"/>
        <v>0</v>
      </c>
      <c r="V23" s="1">
        <f t="shared" si="2"/>
        <v>0</v>
      </c>
      <c r="W23" s="1">
        <f t="shared" si="2"/>
        <v>0</v>
      </c>
      <c r="X23" s="1">
        <f t="shared" si="2"/>
        <v>0</v>
      </c>
      <c r="Y23" s="1">
        <f t="shared" si="2"/>
        <v>0</v>
      </c>
      <c r="Z23" s="1">
        <f t="shared" si="2"/>
        <v>0</v>
      </c>
      <c r="AA23" s="14">
        <f t="shared" si="2"/>
        <v>0</v>
      </c>
    </row>
    <row r="24" spans="1:27" x14ac:dyDescent="0.25">
      <c r="C24" s="11">
        <f>C$19*C$20*C$13</f>
        <v>0</v>
      </c>
      <c r="D24" s="1">
        <f t="shared" ref="D24:AA24" si="3">D$19*D$20*D$13</f>
        <v>0</v>
      </c>
      <c r="E24" s="1">
        <f t="shared" si="3"/>
        <v>0</v>
      </c>
      <c r="F24" s="1">
        <f t="shared" si="3"/>
        <v>0</v>
      </c>
      <c r="G24" s="1">
        <f t="shared" si="3"/>
        <v>0</v>
      </c>
      <c r="H24" s="1">
        <f t="shared" si="3"/>
        <v>0</v>
      </c>
      <c r="I24" s="1">
        <f t="shared" si="3"/>
        <v>0</v>
      </c>
      <c r="J24" s="1">
        <f t="shared" si="3"/>
        <v>0</v>
      </c>
      <c r="K24" s="1">
        <f t="shared" si="3"/>
        <v>0</v>
      </c>
      <c r="L24" s="1">
        <f t="shared" si="3"/>
        <v>0</v>
      </c>
      <c r="M24" s="1">
        <f t="shared" si="3"/>
        <v>0</v>
      </c>
      <c r="N24" s="1">
        <f t="shared" si="3"/>
        <v>0</v>
      </c>
      <c r="O24" s="1">
        <f t="shared" si="3"/>
        <v>0</v>
      </c>
      <c r="P24" s="1">
        <f t="shared" si="3"/>
        <v>0</v>
      </c>
      <c r="Q24" s="1">
        <f t="shared" si="3"/>
        <v>0</v>
      </c>
      <c r="R24" s="1">
        <f t="shared" si="3"/>
        <v>0</v>
      </c>
      <c r="S24" s="1">
        <f t="shared" si="3"/>
        <v>0</v>
      </c>
      <c r="T24" s="1">
        <f t="shared" si="3"/>
        <v>0</v>
      </c>
      <c r="U24" s="1">
        <f t="shared" si="3"/>
        <v>0</v>
      </c>
      <c r="V24" s="1">
        <f t="shared" si="3"/>
        <v>0</v>
      </c>
      <c r="W24" s="1">
        <f t="shared" si="3"/>
        <v>0</v>
      </c>
      <c r="X24" s="1">
        <f t="shared" si="3"/>
        <v>0</v>
      </c>
      <c r="Y24" s="1">
        <f t="shared" si="3"/>
        <v>0</v>
      </c>
      <c r="Z24" s="1">
        <f t="shared" si="3"/>
        <v>0</v>
      </c>
      <c r="AA24" s="14">
        <f t="shared" si="3"/>
        <v>0</v>
      </c>
    </row>
    <row r="25" spans="1:27" x14ac:dyDescent="0.25">
      <c r="C25" s="11">
        <f>C$19*C$20*C$14</f>
        <v>0</v>
      </c>
      <c r="D25" s="1">
        <f t="shared" ref="D25:AA25" si="4">D$19*D$20*D$14</f>
        <v>0</v>
      </c>
      <c r="E25" s="1">
        <f t="shared" si="4"/>
        <v>0</v>
      </c>
      <c r="F25" s="1">
        <f t="shared" si="4"/>
        <v>0</v>
      </c>
      <c r="G25" s="1">
        <f t="shared" si="4"/>
        <v>0</v>
      </c>
      <c r="H25" s="16">
        <f t="shared" si="4"/>
        <v>0</v>
      </c>
      <c r="I25" s="16">
        <f t="shared" si="4"/>
        <v>0</v>
      </c>
      <c r="J25" s="16">
        <f t="shared" si="4"/>
        <v>0</v>
      </c>
      <c r="K25" s="16">
        <f t="shared" si="4"/>
        <v>0</v>
      </c>
      <c r="L25" s="16">
        <f t="shared" si="4"/>
        <v>0</v>
      </c>
      <c r="M25" s="16">
        <f t="shared" si="4"/>
        <v>0</v>
      </c>
      <c r="N25" s="16">
        <f t="shared" si="4"/>
        <v>0</v>
      </c>
      <c r="O25" s="16">
        <f t="shared" si="4"/>
        <v>0</v>
      </c>
      <c r="P25" s="16">
        <f t="shared" si="4"/>
        <v>0</v>
      </c>
      <c r="Q25" s="16">
        <f t="shared" si="4"/>
        <v>0</v>
      </c>
      <c r="R25" s="16">
        <f t="shared" si="4"/>
        <v>0</v>
      </c>
      <c r="S25" s="16">
        <f t="shared" si="4"/>
        <v>0</v>
      </c>
      <c r="T25" s="16">
        <f t="shared" si="4"/>
        <v>0</v>
      </c>
      <c r="U25" s="16">
        <f t="shared" si="4"/>
        <v>0</v>
      </c>
      <c r="V25" s="16">
        <f t="shared" si="4"/>
        <v>0</v>
      </c>
      <c r="W25" s="16">
        <f t="shared" si="4"/>
        <v>0</v>
      </c>
      <c r="X25" s="16">
        <f t="shared" si="4"/>
        <v>0</v>
      </c>
      <c r="Y25" s="16">
        <f t="shared" si="4"/>
        <v>0</v>
      </c>
      <c r="Z25" s="16">
        <f t="shared" si="4"/>
        <v>0</v>
      </c>
      <c r="AA25" s="19">
        <f t="shared" si="4"/>
        <v>0</v>
      </c>
    </row>
    <row r="26" spans="1:27" x14ac:dyDescent="0.25">
      <c r="A26" s="3" t="s">
        <v>10</v>
      </c>
      <c r="C26" s="6">
        <f>SUM(C21:AA21)</f>
        <v>6.6966666666666674E-2</v>
      </c>
      <c r="D26" s="7">
        <f>SUM(C22:AA22)</f>
        <v>0.80606666666666693</v>
      </c>
      <c r="E26" s="7">
        <f>SUM(C23:AA23)</f>
        <v>0.12696666666666667</v>
      </c>
      <c r="F26" s="7">
        <f>SUM(C24:AA24)</f>
        <v>0</v>
      </c>
      <c r="G26" s="10">
        <f>SUM(C25:AA25)</f>
        <v>0</v>
      </c>
    </row>
    <row r="27" spans="1:27" x14ac:dyDescent="0.25">
      <c r="A27" s="3" t="s">
        <v>11</v>
      </c>
      <c r="C27" s="23">
        <v>7.0000000000000007E-2</v>
      </c>
      <c r="D27" s="24">
        <v>0.8</v>
      </c>
      <c r="E27" s="24">
        <v>0.13</v>
      </c>
      <c r="F27" s="24">
        <v>0</v>
      </c>
      <c r="G27" s="25">
        <v>0</v>
      </c>
      <c r="H27" s="1" t="str">
        <f>IF(SUM(C27:G27)&lt;&gt;1,"ERROR - values must sum to 1"," " )</f>
        <v xml:space="preserve"> </v>
      </c>
    </row>
    <row r="28" spans="1:27" x14ac:dyDescent="0.25">
      <c r="C28" s="11">
        <f>$C26</f>
        <v>6.6966666666666674E-2</v>
      </c>
      <c r="D28" s="1">
        <f>$C26</f>
        <v>6.6966666666666674E-2</v>
      </c>
      <c r="E28" s="1">
        <f>$C26</f>
        <v>6.6966666666666674E-2</v>
      </c>
      <c r="F28" s="1">
        <f>$C26</f>
        <v>6.6966666666666674E-2</v>
      </c>
      <c r="G28" s="1">
        <f>$C26</f>
        <v>6.6966666666666674E-2</v>
      </c>
      <c r="H28" s="7">
        <f>$D26</f>
        <v>0.80606666666666693</v>
      </c>
      <c r="I28" s="7">
        <f>$D26</f>
        <v>0.80606666666666693</v>
      </c>
      <c r="J28" s="7">
        <f>$D26</f>
        <v>0.80606666666666693</v>
      </c>
      <c r="K28" s="7">
        <f>$D26</f>
        <v>0.80606666666666693</v>
      </c>
      <c r="L28" s="7">
        <f>$D26</f>
        <v>0.80606666666666693</v>
      </c>
      <c r="M28" s="7">
        <f>$E26</f>
        <v>0.12696666666666667</v>
      </c>
      <c r="N28" s="7">
        <f>$E26</f>
        <v>0.12696666666666667</v>
      </c>
      <c r="O28" s="7">
        <f>$E26</f>
        <v>0.12696666666666667</v>
      </c>
      <c r="P28" s="7">
        <f>$E26</f>
        <v>0.12696666666666667</v>
      </c>
      <c r="Q28" s="7">
        <f>$E26</f>
        <v>0.12696666666666667</v>
      </c>
      <c r="R28" s="7">
        <f>$F26</f>
        <v>0</v>
      </c>
      <c r="S28" s="7">
        <f>$F26</f>
        <v>0</v>
      </c>
      <c r="T28" s="7">
        <f>$F26</f>
        <v>0</v>
      </c>
      <c r="U28" s="7">
        <f>$F26</f>
        <v>0</v>
      </c>
      <c r="V28" s="7">
        <f>$F26</f>
        <v>0</v>
      </c>
      <c r="W28" s="7">
        <f>$G26</f>
        <v>0</v>
      </c>
      <c r="X28" s="7">
        <f>$G26</f>
        <v>0</v>
      </c>
      <c r="Y28" s="7">
        <f>$G26</f>
        <v>0</v>
      </c>
      <c r="Z28" s="7">
        <f>$G26</f>
        <v>0</v>
      </c>
      <c r="AA28" s="10">
        <f>$G26</f>
        <v>0</v>
      </c>
    </row>
    <row r="29" spans="1:27" x14ac:dyDescent="0.25">
      <c r="C29" s="15">
        <f>$C27</f>
        <v>7.0000000000000007E-2</v>
      </c>
      <c r="D29" s="16">
        <f>$D27</f>
        <v>0.8</v>
      </c>
      <c r="E29" s="16">
        <f>$E27</f>
        <v>0.13</v>
      </c>
      <c r="F29" s="16">
        <f>$F27</f>
        <v>0</v>
      </c>
      <c r="G29" s="16">
        <f>$G27</f>
        <v>0</v>
      </c>
      <c r="H29" s="16">
        <f>$C27</f>
        <v>7.0000000000000007E-2</v>
      </c>
      <c r="I29" s="16">
        <f>$D27</f>
        <v>0.8</v>
      </c>
      <c r="J29" s="16">
        <f>$E27</f>
        <v>0.13</v>
      </c>
      <c r="K29" s="16">
        <f>$F27</f>
        <v>0</v>
      </c>
      <c r="L29" s="16">
        <f>$G27</f>
        <v>0</v>
      </c>
      <c r="M29" s="16">
        <f>$C27</f>
        <v>7.0000000000000007E-2</v>
      </c>
      <c r="N29" s="16">
        <f>$D27</f>
        <v>0.8</v>
      </c>
      <c r="O29" s="16">
        <f>$E27</f>
        <v>0.13</v>
      </c>
      <c r="P29" s="16">
        <f>$F27</f>
        <v>0</v>
      </c>
      <c r="Q29" s="16">
        <f>$G27</f>
        <v>0</v>
      </c>
      <c r="R29" s="16">
        <f>$C27</f>
        <v>7.0000000000000007E-2</v>
      </c>
      <c r="S29" s="16">
        <f>$D27</f>
        <v>0.8</v>
      </c>
      <c r="T29" s="16">
        <f>$E27</f>
        <v>0.13</v>
      </c>
      <c r="U29" s="16">
        <f>$F27</f>
        <v>0</v>
      </c>
      <c r="V29" s="16">
        <f>$G27</f>
        <v>0</v>
      </c>
      <c r="W29" s="16">
        <f>$C27</f>
        <v>7.0000000000000007E-2</v>
      </c>
      <c r="X29" s="16">
        <f>$D27</f>
        <v>0.8</v>
      </c>
      <c r="Y29" s="16">
        <f>$E27</f>
        <v>0.13</v>
      </c>
      <c r="Z29" s="16">
        <f>$F27</f>
        <v>0</v>
      </c>
      <c r="AA29" s="19">
        <f>$G27</f>
        <v>0</v>
      </c>
    </row>
    <row r="30" spans="1:27" x14ac:dyDescent="0.25">
      <c r="C30" s="6">
        <f>C$28*C$29*C$10</f>
        <v>4.6876666666666672E-3</v>
      </c>
      <c r="D30" s="7">
        <f t="shared" ref="D30:AA30" si="5">D$28*D$29*D$10</f>
        <v>2.678666666666667E-2</v>
      </c>
      <c r="E30" s="7">
        <f t="shared" si="5"/>
        <v>2.9018888888888861E-3</v>
      </c>
      <c r="F30" s="7">
        <f t="shared" si="5"/>
        <v>0</v>
      </c>
      <c r="G30" s="7">
        <f t="shared" si="5"/>
        <v>0</v>
      </c>
      <c r="H30" s="7">
        <f t="shared" si="5"/>
        <v>2.8212333333333346E-2</v>
      </c>
      <c r="I30" s="7">
        <f t="shared" si="5"/>
        <v>0</v>
      </c>
      <c r="J30" s="7">
        <f t="shared" si="5"/>
        <v>0</v>
      </c>
      <c r="K30" s="7">
        <f t="shared" si="5"/>
        <v>0</v>
      </c>
      <c r="L30" s="7">
        <f t="shared" si="5"/>
        <v>0</v>
      </c>
      <c r="M30" s="7">
        <f t="shared" si="5"/>
        <v>2.9625555555555529E-3</v>
      </c>
      <c r="N30" s="7">
        <f t="shared" si="5"/>
        <v>0</v>
      </c>
      <c r="O30" s="7">
        <f t="shared" si="5"/>
        <v>0</v>
      </c>
      <c r="P30" s="7">
        <f t="shared" si="5"/>
        <v>0</v>
      </c>
      <c r="Q30" s="7">
        <f t="shared" si="5"/>
        <v>0</v>
      </c>
      <c r="R30" s="7">
        <f t="shared" si="5"/>
        <v>0</v>
      </c>
      <c r="S30" s="7">
        <f t="shared" si="5"/>
        <v>0</v>
      </c>
      <c r="T30" s="7">
        <f t="shared" si="5"/>
        <v>0</v>
      </c>
      <c r="U30" s="7">
        <f t="shared" si="5"/>
        <v>0</v>
      </c>
      <c r="V30" s="7">
        <f t="shared" si="5"/>
        <v>0</v>
      </c>
      <c r="W30" s="7">
        <f t="shared" si="5"/>
        <v>0</v>
      </c>
      <c r="X30" s="7">
        <f t="shared" si="5"/>
        <v>0</v>
      </c>
      <c r="Y30" s="7">
        <f t="shared" si="5"/>
        <v>0</v>
      </c>
      <c r="Z30" s="7">
        <f t="shared" si="5"/>
        <v>0</v>
      </c>
      <c r="AA30" s="10">
        <f t="shared" si="5"/>
        <v>0</v>
      </c>
    </row>
    <row r="31" spans="1:27" x14ac:dyDescent="0.25">
      <c r="C31" s="11">
        <f>C$28*C$29*C$11</f>
        <v>0</v>
      </c>
      <c r="D31" s="1">
        <f t="shared" ref="D31:AA31" si="6">D$28*D$29*D$11</f>
        <v>2.678666666666667E-2</v>
      </c>
      <c r="E31" s="1">
        <f t="shared" si="6"/>
        <v>2.9018888888888861E-3</v>
      </c>
      <c r="F31" s="1">
        <f t="shared" si="6"/>
        <v>0</v>
      </c>
      <c r="G31" s="1">
        <f t="shared" si="6"/>
        <v>0</v>
      </c>
      <c r="H31" s="1">
        <f t="shared" si="6"/>
        <v>2.8212333333333346E-2</v>
      </c>
      <c r="I31" s="1">
        <f t="shared" si="6"/>
        <v>0.64485333333333361</v>
      </c>
      <c r="J31" s="1">
        <f t="shared" si="6"/>
        <v>5.2394333333333355E-2</v>
      </c>
      <c r="K31" s="1">
        <f t="shared" si="6"/>
        <v>0</v>
      </c>
      <c r="L31" s="1">
        <f t="shared" si="6"/>
        <v>0</v>
      </c>
      <c r="M31" s="1">
        <f t="shared" si="6"/>
        <v>2.9625555555555529E-3</v>
      </c>
      <c r="N31" s="1">
        <f t="shared" si="6"/>
        <v>5.0786666666666674E-2</v>
      </c>
      <c r="O31" s="1">
        <f t="shared" si="6"/>
        <v>0</v>
      </c>
      <c r="P31" s="1">
        <f t="shared" si="6"/>
        <v>0</v>
      </c>
      <c r="Q31" s="1">
        <f t="shared" si="6"/>
        <v>0</v>
      </c>
      <c r="R31" s="1">
        <f t="shared" si="6"/>
        <v>0</v>
      </c>
      <c r="S31" s="1">
        <f t="shared" si="6"/>
        <v>0</v>
      </c>
      <c r="T31" s="1">
        <f t="shared" si="6"/>
        <v>0</v>
      </c>
      <c r="U31" s="1">
        <f t="shared" si="6"/>
        <v>0</v>
      </c>
      <c r="V31" s="1">
        <f t="shared" si="6"/>
        <v>0</v>
      </c>
      <c r="W31" s="1">
        <f t="shared" si="6"/>
        <v>0</v>
      </c>
      <c r="X31" s="1">
        <f t="shared" si="6"/>
        <v>0</v>
      </c>
      <c r="Y31" s="1">
        <f t="shared" si="6"/>
        <v>0</v>
      </c>
      <c r="Z31" s="1">
        <f t="shared" si="6"/>
        <v>0</v>
      </c>
      <c r="AA31" s="14">
        <f t="shared" si="6"/>
        <v>0</v>
      </c>
    </row>
    <row r="32" spans="1:27" x14ac:dyDescent="0.25">
      <c r="C32" s="11">
        <f>C$28*C$29*C$12</f>
        <v>0</v>
      </c>
      <c r="D32" s="1">
        <f t="shared" ref="D32:AA32" si="7">D$28*D$29*D$12</f>
        <v>0</v>
      </c>
      <c r="E32" s="1">
        <f t="shared" si="7"/>
        <v>2.9018888888888861E-3</v>
      </c>
      <c r="F32" s="1">
        <f t="shared" si="7"/>
        <v>0</v>
      </c>
      <c r="G32" s="1">
        <f t="shared" si="7"/>
        <v>0</v>
      </c>
      <c r="H32" s="1">
        <f t="shared" si="7"/>
        <v>0</v>
      </c>
      <c r="I32" s="1">
        <f t="shared" si="7"/>
        <v>0</v>
      </c>
      <c r="J32" s="1">
        <f t="shared" si="7"/>
        <v>5.2394333333333355E-2</v>
      </c>
      <c r="K32" s="1">
        <f t="shared" si="7"/>
        <v>0</v>
      </c>
      <c r="L32" s="1">
        <f t="shared" si="7"/>
        <v>0</v>
      </c>
      <c r="M32" s="1">
        <f t="shared" si="7"/>
        <v>2.9625555555555529E-3</v>
      </c>
      <c r="N32" s="1">
        <f t="shared" si="7"/>
        <v>5.0786666666666674E-2</v>
      </c>
      <c r="O32" s="1">
        <f t="shared" si="7"/>
        <v>1.6505666666666668E-2</v>
      </c>
      <c r="P32" s="1">
        <f t="shared" si="7"/>
        <v>0</v>
      </c>
      <c r="Q32" s="1">
        <f t="shared" si="7"/>
        <v>0</v>
      </c>
      <c r="R32" s="1">
        <f t="shared" si="7"/>
        <v>0</v>
      </c>
      <c r="S32" s="1">
        <f t="shared" si="7"/>
        <v>0</v>
      </c>
      <c r="T32" s="1">
        <f t="shared" si="7"/>
        <v>0</v>
      </c>
      <c r="U32" s="1">
        <f t="shared" si="7"/>
        <v>0</v>
      </c>
      <c r="V32" s="1">
        <f t="shared" si="7"/>
        <v>0</v>
      </c>
      <c r="W32" s="1">
        <f t="shared" si="7"/>
        <v>0</v>
      </c>
      <c r="X32" s="1">
        <f t="shared" si="7"/>
        <v>0</v>
      </c>
      <c r="Y32" s="1">
        <f t="shared" si="7"/>
        <v>0</v>
      </c>
      <c r="Z32" s="1">
        <f t="shared" si="7"/>
        <v>0</v>
      </c>
      <c r="AA32" s="14">
        <f t="shared" si="7"/>
        <v>0</v>
      </c>
    </row>
    <row r="33" spans="1:27" x14ac:dyDescent="0.25">
      <c r="C33" s="11">
        <f>C$28*C$29*C$13</f>
        <v>0</v>
      </c>
      <c r="D33" s="1">
        <f t="shared" ref="D33:AA33" si="8">D$28*D$29*D$13</f>
        <v>0</v>
      </c>
      <c r="E33" s="1">
        <f t="shared" si="8"/>
        <v>0</v>
      </c>
      <c r="F33" s="1">
        <f t="shared" si="8"/>
        <v>0</v>
      </c>
      <c r="G33" s="1">
        <f t="shared" si="8"/>
        <v>0</v>
      </c>
      <c r="H33" s="1">
        <f t="shared" si="8"/>
        <v>0</v>
      </c>
      <c r="I33" s="1">
        <f t="shared" si="8"/>
        <v>0</v>
      </c>
      <c r="J33" s="1">
        <f t="shared" si="8"/>
        <v>0</v>
      </c>
      <c r="K33" s="1">
        <f t="shared" si="8"/>
        <v>0</v>
      </c>
      <c r="L33" s="1">
        <f t="shared" si="8"/>
        <v>0</v>
      </c>
      <c r="M33" s="1">
        <f t="shared" si="8"/>
        <v>0</v>
      </c>
      <c r="N33" s="1">
        <f t="shared" si="8"/>
        <v>0</v>
      </c>
      <c r="O33" s="1">
        <f t="shared" si="8"/>
        <v>0</v>
      </c>
      <c r="P33" s="1">
        <f t="shared" si="8"/>
        <v>0</v>
      </c>
      <c r="Q33" s="1">
        <f t="shared" si="8"/>
        <v>0</v>
      </c>
      <c r="R33" s="1">
        <f t="shared" si="8"/>
        <v>0</v>
      </c>
      <c r="S33" s="1">
        <f t="shared" si="8"/>
        <v>0</v>
      </c>
      <c r="T33" s="1">
        <f t="shared" si="8"/>
        <v>0</v>
      </c>
      <c r="U33" s="1">
        <f t="shared" si="8"/>
        <v>0</v>
      </c>
      <c r="V33" s="1">
        <f t="shared" si="8"/>
        <v>0</v>
      </c>
      <c r="W33" s="1">
        <f t="shared" si="8"/>
        <v>0</v>
      </c>
      <c r="X33" s="1">
        <f t="shared" si="8"/>
        <v>0</v>
      </c>
      <c r="Y33" s="1">
        <f t="shared" si="8"/>
        <v>0</v>
      </c>
      <c r="Z33" s="1">
        <f t="shared" si="8"/>
        <v>0</v>
      </c>
      <c r="AA33" s="14">
        <f t="shared" si="8"/>
        <v>0</v>
      </c>
    </row>
    <row r="34" spans="1:27" x14ac:dyDescent="0.25">
      <c r="C34" s="11">
        <f>C$28*C$29*C$14</f>
        <v>0</v>
      </c>
      <c r="D34" s="1">
        <f t="shared" ref="D34:AA34" si="9">D$28*D$29*D$14</f>
        <v>0</v>
      </c>
      <c r="E34" s="1">
        <f t="shared" si="9"/>
        <v>0</v>
      </c>
      <c r="F34" s="1">
        <f t="shared" si="9"/>
        <v>0</v>
      </c>
      <c r="G34" s="1">
        <f t="shared" si="9"/>
        <v>0</v>
      </c>
      <c r="H34" s="16">
        <f t="shared" si="9"/>
        <v>0</v>
      </c>
      <c r="I34" s="16">
        <f t="shared" si="9"/>
        <v>0</v>
      </c>
      <c r="J34" s="16">
        <f t="shared" si="9"/>
        <v>0</v>
      </c>
      <c r="K34" s="16">
        <f t="shared" si="9"/>
        <v>0</v>
      </c>
      <c r="L34" s="16">
        <f t="shared" si="9"/>
        <v>0</v>
      </c>
      <c r="M34" s="16">
        <f t="shared" si="9"/>
        <v>0</v>
      </c>
      <c r="N34" s="16">
        <f t="shared" si="9"/>
        <v>0</v>
      </c>
      <c r="O34" s="16">
        <f t="shared" si="9"/>
        <v>0</v>
      </c>
      <c r="P34" s="16">
        <f t="shared" si="9"/>
        <v>0</v>
      </c>
      <c r="Q34" s="16">
        <f t="shared" si="9"/>
        <v>0</v>
      </c>
      <c r="R34" s="16">
        <f t="shared" si="9"/>
        <v>0</v>
      </c>
      <c r="S34" s="16">
        <f t="shared" si="9"/>
        <v>0</v>
      </c>
      <c r="T34" s="16">
        <f t="shared" si="9"/>
        <v>0</v>
      </c>
      <c r="U34" s="16">
        <f t="shared" si="9"/>
        <v>0</v>
      </c>
      <c r="V34" s="16">
        <f t="shared" si="9"/>
        <v>0</v>
      </c>
      <c r="W34" s="16">
        <f t="shared" si="9"/>
        <v>0</v>
      </c>
      <c r="X34" s="16">
        <f t="shared" si="9"/>
        <v>0</v>
      </c>
      <c r="Y34" s="16">
        <f t="shared" si="9"/>
        <v>0</v>
      </c>
      <c r="Z34" s="16">
        <f t="shared" si="9"/>
        <v>0</v>
      </c>
      <c r="AA34" s="19">
        <f t="shared" si="9"/>
        <v>0</v>
      </c>
    </row>
    <row r="35" spans="1:27" x14ac:dyDescent="0.25">
      <c r="A35" s="3" t="s">
        <v>12</v>
      </c>
      <c r="C35" s="6">
        <f>SUM(C30:AA30)</f>
        <v>6.5551111111111116E-2</v>
      </c>
      <c r="D35" s="7">
        <f>SUM(C31:AA31)</f>
        <v>0.80889777777777805</v>
      </c>
      <c r="E35" s="7">
        <f>SUM(C32:AA32)</f>
        <v>0.12555111111111114</v>
      </c>
      <c r="F35" s="7">
        <f>SUM(C33:AA33)</f>
        <v>0</v>
      </c>
      <c r="G35" s="10">
        <f>SUM(C34:AA34)</f>
        <v>0</v>
      </c>
    </row>
    <row r="36" spans="1:27" x14ac:dyDescent="0.25">
      <c r="A36" s="3" t="s">
        <v>13</v>
      </c>
      <c r="C36" s="26">
        <v>0.8</v>
      </c>
      <c r="D36" s="27">
        <v>0.2</v>
      </c>
      <c r="E36" s="27">
        <v>0</v>
      </c>
      <c r="F36" s="27">
        <v>0</v>
      </c>
      <c r="G36" s="28">
        <v>0</v>
      </c>
      <c r="H36" s="1" t="str">
        <f>IF(SUM(C36:G36)&lt;&gt;1,"ERROR - values must sum to 1"," " )</f>
        <v xml:space="preserve"> </v>
      </c>
    </row>
    <row r="37" spans="1:27" x14ac:dyDescent="0.25">
      <c r="A37" s="3" t="s">
        <v>14</v>
      </c>
      <c r="C37" s="23">
        <v>0.9</v>
      </c>
      <c r="D37" s="24">
        <v>0.1</v>
      </c>
      <c r="E37" s="24">
        <v>0</v>
      </c>
      <c r="F37" s="24">
        <v>0</v>
      </c>
      <c r="G37" s="25">
        <v>0</v>
      </c>
      <c r="H37" s="1" t="str">
        <f>IF(SUM(C37:G37)&lt;&gt;1,"ERROR - values must sum to 1"," " )</f>
        <v xml:space="preserve"> </v>
      </c>
    </row>
    <row r="38" spans="1:27" x14ac:dyDescent="0.25">
      <c r="C38" s="11">
        <f>$C36</f>
        <v>0.8</v>
      </c>
      <c r="D38" s="1">
        <f>$C36</f>
        <v>0.8</v>
      </c>
      <c r="E38" s="1">
        <f>$C36</f>
        <v>0.8</v>
      </c>
      <c r="F38" s="1">
        <f>$C36</f>
        <v>0.8</v>
      </c>
      <c r="G38" s="1">
        <f>$C36</f>
        <v>0.8</v>
      </c>
      <c r="H38" s="7">
        <f>$D36</f>
        <v>0.2</v>
      </c>
      <c r="I38" s="7">
        <f>$D36</f>
        <v>0.2</v>
      </c>
      <c r="J38" s="7">
        <f>$D36</f>
        <v>0.2</v>
      </c>
      <c r="K38" s="7">
        <f>$D36</f>
        <v>0.2</v>
      </c>
      <c r="L38" s="7">
        <f>$D36</f>
        <v>0.2</v>
      </c>
      <c r="M38" s="7">
        <f>$E36</f>
        <v>0</v>
      </c>
      <c r="N38" s="7">
        <f>$E36</f>
        <v>0</v>
      </c>
      <c r="O38" s="7">
        <f>$E36</f>
        <v>0</v>
      </c>
      <c r="P38" s="7">
        <f>$E36</f>
        <v>0</v>
      </c>
      <c r="Q38" s="7">
        <f>$E36</f>
        <v>0</v>
      </c>
      <c r="R38" s="7">
        <f>$F36</f>
        <v>0</v>
      </c>
      <c r="S38" s="7">
        <f>$F36</f>
        <v>0</v>
      </c>
      <c r="T38" s="7">
        <f>$F36</f>
        <v>0</v>
      </c>
      <c r="U38" s="7">
        <f>$F36</f>
        <v>0</v>
      </c>
      <c r="V38" s="7">
        <f>$F36</f>
        <v>0</v>
      </c>
      <c r="W38" s="7">
        <f>$G36</f>
        <v>0</v>
      </c>
      <c r="X38" s="7">
        <f>$G36</f>
        <v>0</v>
      </c>
      <c r="Y38" s="7">
        <f>$G36</f>
        <v>0</v>
      </c>
      <c r="Z38" s="7">
        <f>$G36</f>
        <v>0</v>
      </c>
      <c r="AA38" s="10">
        <f>$G36</f>
        <v>0</v>
      </c>
    </row>
    <row r="39" spans="1:27" x14ac:dyDescent="0.25">
      <c r="C39" s="15">
        <f>$C37</f>
        <v>0.9</v>
      </c>
      <c r="D39" s="16">
        <f>$D37</f>
        <v>0.1</v>
      </c>
      <c r="E39" s="16">
        <f>$E37</f>
        <v>0</v>
      </c>
      <c r="F39" s="16">
        <f>$F37</f>
        <v>0</v>
      </c>
      <c r="G39" s="16">
        <f>$G37</f>
        <v>0</v>
      </c>
      <c r="H39" s="16">
        <f>$C37</f>
        <v>0.9</v>
      </c>
      <c r="I39" s="16">
        <f>$D37</f>
        <v>0.1</v>
      </c>
      <c r="J39" s="16">
        <f>$E37</f>
        <v>0</v>
      </c>
      <c r="K39" s="16">
        <f>$F37</f>
        <v>0</v>
      </c>
      <c r="L39" s="16">
        <f>$G37</f>
        <v>0</v>
      </c>
      <c r="M39" s="16">
        <f>$C37</f>
        <v>0.9</v>
      </c>
      <c r="N39" s="16">
        <f>$D37</f>
        <v>0.1</v>
      </c>
      <c r="O39" s="16">
        <f>$E37</f>
        <v>0</v>
      </c>
      <c r="P39" s="16">
        <f>$F37</f>
        <v>0</v>
      </c>
      <c r="Q39" s="16">
        <f>$G37</f>
        <v>0</v>
      </c>
      <c r="R39" s="16">
        <f>$C37</f>
        <v>0.9</v>
      </c>
      <c r="S39" s="16">
        <f>$D37</f>
        <v>0.1</v>
      </c>
      <c r="T39" s="16">
        <f>$E37</f>
        <v>0</v>
      </c>
      <c r="U39" s="16">
        <f>$F37</f>
        <v>0</v>
      </c>
      <c r="V39" s="16">
        <f>$G37</f>
        <v>0</v>
      </c>
      <c r="W39" s="16">
        <f>$C37</f>
        <v>0.9</v>
      </c>
      <c r="X39" s="16">
        <f>$D37</f>
        <v>0.1</v>
      </c>
      <c r="Y39" s="16">
        <f>$E37</f>
        <v>0</v>
      </c>
      <c r="Z39" s="16">
        <f>$F37</f>
        <v>0</v>
      </c>
      <c r="AA39" s="19">
        <f>$G37</f>
        <v>0</v>
      </c>
    </row>
    <row r="40" spans="1:27" x14ac:dyDescent="0.25">
      <c r="C40" s="6">
        <f t="shared" ref="C40:AA40" si="10">C$38*C$39*C$10</f>
        <v>0.72000000000000008</v>
      </c>
      <c r="D40" s="7">
        <f t="shared" si="10"/>
        <v>4.0000000000000008E-2</v>
      </c>
      <c r="E40" s="7">
        <f t="shared" si="10"/>
        <v>0</v>
      </c>
      <c r="F40" s="7">
        <f t="shared" si="10"/>
        <v>0</v>
      </c>
      <c r="G40" s="7">
        <f t="shared" si="10"/>
        <v>0</v>
      </c>
      <c r="H40" s="7">
        <f t="shared" si="10"/>
        <v>9.0000000000000011E-2</v>
      </c>
      <c r="I40" s="7">
        <f t="shared" si="10"/>
        <v>0</v>
      </c>
      <c r="J40" s="7">
        <f t="shared" si="10"/>
        <v>0</v>
      </c>
      <c r="K40" s="7">
        <f t="shared" si="10"/>
        <v>0</v>
      </c>
      <c r="L40" s="7">
        <f t="shared" si="10"/>
        <v>0</v>
      </c>
      <c r="M40" s="7">
        <f t="shared" si="10"/>
        <v>0</v>
      </c>
      <c r="N40" s="7">
        <f t="shared" si="10"/>
        <v>0</v>
      </c>
      <c r="O40" s="7">
        <f t="shared" si="10"/>
        <v>0</v>
      </c>
      <c r="P40" s="7">
        <f t="shared" si="10"/>
        <v>0</v>
      </c>
      <c r="Q40" s="7">
        <f t="shared" si="10"/>
        <v>0</v>
      </c>
      <c r="R40" s="7">
        <f t="shared" si="10"/>
        <v>0</v>
      </c>
      <c r="S40" s="7">
        <f t="shared" si="10"/>
        <v>0</v>
      </c>
      <c r="T40" s="7">
        <f t="shared" si="10"/>
        <v>0</v>
      </c>
      <c r="U40" s="7">
        <f t="shared" si="10"/>
        <v>0</v>
      </c>
      <c r="V40" s="7">
        <f t="shared" si="10"/>
        <v>0</v>
      </c>
      <c r="W40" s="7">
        <f t="shared" si="10"/>
        <v>0</v>
      </c>
      <c r="X40" s="7">
        <f t="shared" si="10"/>
        <v>0</v>
      </c>
      <c r="Y40" s="7">
        <f t="shared" si="10"/>
        <v>0</v>
      </c>
      <c r="Z40" s="7">
        <f t="shared" si="10"/>
        <v>0</v>
      </c>
      <c r="AA40" s="10">
        <f t="shared" si="10"/>
        <v>0</v>
      </c>
    </row>
    <row r="41" spans="1:27" x14ac:dyDescent="0.25">
      <c r="C41" s="11">
        <f t="shared" ref="C41:AA41" si="11">C$38*C$39*C$11</f>
        <v>0</v>
      </c>
      <c r="D41" s="1">
        <f t="shared" si="11"/>
        <v>4.0000000000000008E-2</v>
      </c>
      <c r="E41" s="1">
        <f t="shared" si="11"/>
        <v>0</v>
      </c>
      <c r="F41" s="1">
        <f t="shared" si="11"/>
        <v>0</v>
      </c>
      <c r="G41" s="1">
        <f t="shared" si="11"/>
        <v>0</v>
      </c>
      <c r="H41" s="1">
        <f t="shared" si="11"/>
        <v>9.0000000000000011E-2</v>
      </c>
      <c r="I41" s="1">
        <f t="shared" si="11"/>
        <v>2.0000000000000004E-2</v>
      </c>
      <c r="J41" s="1">
        <f t="shared" si="11"/>
        <v>0</v>
      </c>
      <c r="K41" s="1">
        <f t="shared" si="11"/>
        <v>0</v>
      </c>
      <c r="L41" s="1">
        <f t="shared" si="11"/>
        <v>0</v>
      </c>
      <c r="M41" s="1">
        <f t="shared" si="11"/>
        <v>0</v>
      </c>
      <c r="N41" s="1">
        <f t="shared" si="11"/>
        <v>0</v>
      </c>
      <c r="O41" s="1">
        <f t="shared" si="11"/>
        <v>0</v>
      </c>
      <c r="P41" s="1">
        <f t="shared" si="11"/>
        <v>0</v>
      </c>
      <c r="Q41" s="1">
        <f t="shared" si="11"/>
        <v>0</v>
      </c>
      <c r="R41" s="1">
        <f t="shared" si="11"/>
        <v>0</v>
      </c>
      <c r="S41" s="1">
        <f t="shared" si="11"/>
        <v>0</v>
      </c>
      <c r="T41" s="1">
        <f t="shared" si="11"/>
        <v>0</v>
      </c>
      <c r="U41" s="1">
        <f t="shared" si="11"/>
        <v>0</v>
      </c>
      <c r="V41" s="1">
        <f t="shared" si="11"/>
        <v>0</v>
      </c>
      <c r="W41" s="1">
        <f t="shared" si="11"/>
        <v>0</v>
      </c>
      <c r="X41" s="1">
        <f t="shared" si="11"/>
        <v>0</v>
      </c>
      <c r="Y41" s="1">
        <f t="shared" si="11"/>
        <v>0</v>
      </c>
      <c r="Z41" s="1">
        <f t="shared" si="11"/>
        <v>0</v>
      </c>
      <c r="AA41" s="14">
        <f t="shared" si="11"/>
        <v>0</v>
      </c>
    </row>
    <row r="42" spans="1:27" x14ac:dyDescent="0.25">
      <c r="C42" s="11">
        <f t="shared" ref="C42:AA42" si="12">C$38*C$39*C$12</f>
        <v>0</v>
      </c>
      <c r="D42" s="1">
        <f t="shared" si="12"/>
        <v>0</v>
      </c>
      <c r="E42" s="1">
        <f t="shared" si="12"/>
        <v>0</v>
      </c>
      <c r="F42" s="1">
        <f t="shared" si="12"/>
        <v>0</v>
      </c>
      <c r="G42" s="1">
        <f t="shared" si="12"/>
        <v>0</v>
      </c>
      <c r="H42" s="1">
        <f t="shared" si="12"/>
        <v>0</v>
      </c>
      <c r="I42" s="1">
        <f t="shared" si="12"/>
        <v>0</v>
      </c>
      <c r="J42" s="1">
        <f t="shared" si="12"/>
        <v>0</v>
      </c>
      <c r="K42" s="1">
        <f t="shared" si="12"/>
        <v>0</v>
      </c>
      <c r="L42" s="1">
        <f t="shared" si="12"/>
        <v>0</v>
      </c>
      <c r="M42" s="1">
        <f t="shared" si="12"/>
        <v>0</v>
      </c>
      <c r="N42" s="1">
        <f t="shared" si="12"/>
        <v>0</v>
      </c>
      <c r="O42" s="1">
        <f t="shared" si="12"/>
        <v>0</v>
      </c>
      <c r="P42" s="1">
        <f t="shared" si="12"/>
        <v>0</v>
      </c>
      <c r="Q42" s="1">
        <f t="shared" si="12"/>
        <v>0</v>
      </c>
      <c r="R42" s="1">
        <f t="shared" si="12"/>
        <v>0</v>
      </c>
      <c r="S42" s="1">
        <f t="shared" si="12"/>
        <v>0</v>
      </c>
      <c r="T42" s="1">
        <f t="shared" si="12"/>
        <v>0</v>
      </c>
      <c r="U42" s="1">
        <f t="shared" si="12"/>
        <v>0</v>
      </c>
      <c r="V42" s="1">
        <f t="shared" si="12"/>
        <v>0</v>
      </c>
      <c r="W42" s="1">
        <f t="shared" si="12"/>
        <v>0</v>
      </c>
      <c r="X42" s="1">
        <f t="shared" si="12"/>
        <v>0</v>
      </c>
      <c r="Y42" s="1">
        <f t="shared" si="12"/>
        <v>0</v>
      </c>
      <c r="Z42" s="1">
        <f t="shared" si="12"/>
        <v>0</v>
      </c>
      <c r="AA42" s="14">
        <f t="shared" si="12"/>
        <v>0</v>
      </c>
    </row>
    <row r="43" spans="1:27" x14ac:dyDescent="0.25">
      <c r="C43" s="11">
        <f t="shared" ref="C43:AA43" si="13">C$38*C$39*C$13</f>
        <v>0</v>
      </c>
      <c r="D43" s="1">
        <f t="shared" si="13"/>
        <v>0</v>
      </c>
      <c r="E43" s="1">
        <f t="shared" si="13"/>
        <v>0</v>
      </c>
      <c r="F43" s="1">
        <f t="shared" si="13"/>
        <v>0</v>
      </c>
      <c r="G43" s="1">
        <f t="shared" si="13"/>
        <v>0</v>
      </c>
      <c r="H43" s="1">
        <f t="shared" si="13"/>
        <v>0</v>
      </c>
      <c r="I43" s="1">
        <f t="shared" si="13"/>
        <v>0</v>
      </c>
      <c r="J43" s="1">
        <f t="shared" si="13"/>
        <v>0</v>
      </c>
      <c r="K43" s="1">
        <f t="shared" si="13"/>
        <v>0</v>
      </c>
      <c r="L43" s="1">
        <f t="shared" si="13"/>
        <v>0</v>
      </c>
      <c r="M43" s="1">
        <f t="shared" si="13"/>
        <v>0</v>
      </c>
      <c r="N43" s="1">
        <f t="shared" si="13"/>
        <v>0</v>
      </c>
      <c r="O43" s="1">
        <f t="shared" si="13"/>
        <v>0</v>
      </c>
      <c r="P43" s="1">
        <f t="shared" si="13"/>
        <v>0</v>
      </c>
      <c r="Q43" s="1">
        <f t="shared" si="13"/>
        <v>0</v>
      </c>
      <c r="R43" s="1">
        <f t="shared" si="13"/>
        <v>0</v>
      </c>
      <c r="S43" s="1">
        <f t="shared" si="13"/>
        <v>0</v>
      </c>
      <c r="T43" s="1">
        <f t="shared" si="13"/>
        <v>0</v>
      </c>
      <c r="U43" s="1">
        <f t="shared" si="13"/>
        <v>0</v>
      </c>
      <c r="V43" s="1">
        <f t="shared" si="13"/>
        <v>0</v>
      </c>
      <c r="W43" s="1">
        <f t="shared" si="13"/>
        <v>0</v>
      </c>
      <c r="X43" s="1">
        <f t="shared" si="13"/>
        <v>0</v>
      </c>
      <c r="Y43" s="1">
        <f t="shared" si="13"/>
        <v>0</v>
      </c>
      <c r="Z43" s="1">
        <f t="shared" si="13"/>
        <v>0</v>
      </c>
      <c r="AA43" s="14">
        <f t="shared" si="13"/>
        <v>0</v>
      </c>
    </row>
    <row r="44" spans="1:27" x14ac:dyDescent="0.25">
      <c r="C44" s="15">
        <f t="shared" ref="C44:AA44" si="14">C$38*C$39*C$14</f>
        <v>0</v>
      </c>
      <c r="D44" s="16">
        <f t="shared" si="14"/>
        <v>0</v>
      </c>
      <c r="E44" s="16">
        <f t="shared" si="14"/>
        <v>0</v>
      </c>
      <c r="F44" s="16">
        <f t="shared" si="14"/>
        <v>0</v>
      </c>
      <c r="G44" s="16">
        <f t="shared" si="14"/>
        <v>0</v>
      </c>
      <c r="H44" s="16">
        <f t="shared" si="14"/>
        <v>0</v>
      </c>
      <c r="I44" s="16">
        <f t="shared" si="14"/>
        <v>0</v>
      </c>
      <c r="J44" s="16">
        <f t="shared" si="14"/>
        <v>0</v>
      </c>
      <c r="K44" s="16">
        <f t="shared" si="14"/>
        <v>0</v>
      </c>
      <c r="L44" s="16">
        <f t="shared" si="14"/>
        <v>0</v>
      </c>
      <c r="M44" s="16">
        <f t="shared" si="14"/>
        <v>0</v>
      </c>
      <c r="N44" s="16">
        <f t="shared" si="14"/>
        <v>0</v>
      </c>
      <c r="O44" s="16">
        <f t="shared" si="14"/>
        <v>0</v>
      </c>
      <c r="P44" s="16">
        <f t="shared" si="14"/>
        <v>0</v>
      </c>
      <c r="Q44" s="16">
        <f t="shared" si="14"/>
        <v>0</v>
      </c>
      <c r="R44" s="16">
        <f t="shared" si="14"/>
        <v>0</v>
      </c>
      <c r="S44" s="16">
        <f t="shared" si="14"/>
        <v>0</v>
      </c>
      <c r="T44" s="16">
        <f t="shared" si="14"/>
        <v>0</v>
      </c>
      <c r="U44" s="16">
        <f t="shared" si="14"/>
        <v>0</v>
      </c>
      <c r="V44" s="16">
        <f t="shared" si="14"/>
        <v>0</v>
      </c>
      <c r="W44" s="16">
        <f t="shared" si="14"/>
        <v>0</v>
      </c>
      <c r="X44" s="16">
        <f t="shared" si="14"/>
        <v>0</v>
      </c>
      <c r="Y44" s="16">
        <f t="shared" si="14"/>
        <v>0</v>
      </c>
      <c r="Z44" s="16">
        <f t="shared" si="14"/>
        <v>0</v>
      </c>
      <c r="AA44" s="19">
        <f t="shared" si="14"/>
        <v>0</v>
      </c>
    </row>
    <row r="45" spans="1:27" x14ac:dyDescent="0.25">
      <c r="A45" s="3" t="s">
        <v>15</v>
      </c>
      <c r="C45" s="6">
        <f>SUM(C40:AA40)</f>
        <v>0.85000000000000009</v>
      </c>
      <c r="D45" s="7">
        <f>SUM(C41:AA41)</f>
        <v>0.15000000000000002</v>
      </c>
      <c r="E45" s="7">
        <f>SUM(C42:AA42)</f>
        <v>0</v>
      </c>
      <c r="F45" s="7">
        <f>SUM(C43:AA43)</f>
        <v>0</v>
      </c>
      <c r="G45" s="10">
        <f>SUM(C44:AA44)</f>
        <v>0</v>
      </c>
    </row>
    <row r="46" spans="1:27" x14ac:dyDescent="0.25">
      <c r="C46" s="6">
        <f>$C35</f>
        <v>6.5551111111111116E-2</v>
      </c>
      <c r="D46" s="7">
        <f>$C35</f>
        <v>6.5551111111111116E-2</v>
      </c>
      <c r="E46" s="7">
        <f>$C35</f>
        <v>6.5551111111111116E-2</v>
      </c>
      <c r="F46" s="7">
        <f>$C35</f>
        <v>6.5551111111111116E-2</v>
      </c>
      <c r="G46" s="7">
        <f>$C35</f>
        <v>6.5551111111111116E-2</v>
      </c>
      <c r="H46" s="7">
        <f>$D35</f>
        <v>0.80889777777777805</v>
      </c>
      <c r="I46" s="7">
        <f>$D35</f>
        <v>0.80889777777777805</v>
      </c>
      <c r="J46" s="7">
        <f>$D35</f>
        <v>0.80889777777777805</v>
      </c>
      <c r="K46" s="7">
        <f>$D35</f>
        <v>0.80889777777777805</v>
      </c>
      <c r="L46" s="7">
        <f>$D35</f>
        <v>0.80889777777777805</v>
      </c>
      <c r="M46" s="7">
        <f>$E35</f>
        <v>0.12555111111111114</v>
      </c>
      <c r="N46" s="7">
        <f>$E35</f>
        <v>0.12555111111111114</v>
      </c>
      <c r="O46" s="7">
        <f>$E35</f>
        <v>0.12555111111111114</v>
      </c>
      <c r="P46" s="7">
        <f>$E35</f>
        <v>0.12555111111111114</v>
      </c>
      <c r="Q46" s="7">
        <f>$E35</f>
        <v>0.12555111111111114</v>
      </c>
      <c r="R46" s="7">
        <f>$F35</f>
        <v>0</v>
      </c>
      <c r="S46" s="7">
        <f>$F35</f>
        <v>0</v>
      </c>
      <c r="T46" s="7">
        <f>$F35</f>
        <v>0</v>
      </c>
      <c r="U46" s="7">
        <f>$F35</f>
        <v>0</v>
      </c>
      <c r="V46" s="7">
        <f>$F35</f>
        <v>0</v>
      </c>
      <c r="W46" s="7">
        <f>$G35</f>
        <v>0</v>
      </c>
      <c r="X46" s="7">
        <f>$G35</f>
        <v>0</v>
      </c>
      <c r="Y46" s="7">
        <f>$G35</f>
        <v>0</v>
      </c>
      <c r="Z46" s="7">
        <f>$G35</f>
        <v>0</v>
      </c>
      <c r="AA46" s="10">
        <f>$G35</f>
        <v>0</v>
      </c>
    </row>
    <row r="47" spans="1:27" x14ac:dyDescent="0.25">
      <c r="C47" s="15">
        <f>$C45</f>
        <v>0.85000000000000009</v>
      </c>
      <c r="D47" s="16">
        <f>$D45</f>
        <v>0.15000000000000002</v>
      </c>
      <c r="E47" s="16">
        <f>$E45</f>
        <v>0</v>
      </c>
      <c r="F47" s="16">
        <f>$F45</f>
        <v>0</v>
      </c>
      <c r="G47" s="16">
        <f>$G45</f>
        <v>0</v>
      </c>
      <c r="H47" s="16">
        <f>$C45</f>
        <v>0.85000000000000009</v>
      </c>
      <c r="I47" s="16">
        <f>$D45</f>
        <v>0.15000000000000002</v>
      </c>
      <c r="J47" s="16">
        <f>$E45</f>
        <v>0</v>
      </c>
      <c r="K47" s="16">
        <f>$F45</f>
        <v>0</v>
      </c>
      <c r="L47" s="16">
        <f>$G45</f>
        <v>0</v>
      </c>
      <c r="M47" s="16">
        <f>$C45</f>
        <v>0.85000000000000009</v>
      </c>
      <c r="N47" s="16">
        <f>$D45</f>
        <v>0.15000000000000002</v>
      </c>
      <c r="O47" s="16">
        <f>$E45</f>
        <v>0</v>
      </c>
      <c r="P47" s="16">
        <f>$F45</f>
        <v>0</v>
      </c>
      <c r="Q47" s="16">
        <f>$G45</f>
        <v>0</v>
      </c>
      <c r="R47" s="16">
        <f>$C45</f>
        <v>0.85000000000000009</v>
      </c>
      <c r="S47" s="16">
        <f>$D45</f>
        <v>0.15000000000000002</v>
      </c>
      <c r="T47" s="16">
        <f>$E45</f>
        <v>0</v>
      </c>
      <c r="U47" s="16">
        <f>$F45</f>
        <v>0</v>
      </c>
      <c r="V47" s="16">
        <f>$G45</f>
        <v>0</v>
      </c>
      <c r="W47" s="16">
        <f>$C45</f>
        <v>0.85000000000000009</v>
      </c>
      <c r="X47" s="16">
        <f>$D45</f>
        <v>0.15000000000000002</v>
      </c>
      <c r="Y47" s="16">
        <f>$E45</f>
        <v>0</v>
      </c>
      <c r="Z47" s="16">
        <f>$F45</f>
        <v>0</v>
      </c>
      <c r="AA47" s="19">
        <f>$G45</f>
        <v>0</v>
      </c>
    </row>
    <row r="48" spans="1:27" x14ac:dyDescent="0.25">
      <c r="C48" s="6">
        <f t="shared" ref="C48:AA48" si="15">C$46*C$47*C$10</f>
        <v>5.5718444444444452E-2</v>
      </c>
      <c r="D48" s="7">
        <f t="shared" si="15"/>
        <v>4.9163333333333342E-3</v>
      </c>
      <c r="E48" s="7">
        <f t="shared" si="15"/>
        <v>0</v>
      </c>
      <c r="F48" s="7">
        <f t="shared" si="15"/>
        <v>0</v>
      </c>
      <c r="G48" s="7">
        <f t="shared" si="15"/>
        <v>0</v>
      </c>
      <c r="H48" s="1">
        <f t="shared" si="15"/>
        <v>0.34378155555555573</v>
      </c>
      <c r="I48" s="1">
        <f t="shared" si="15"/>
        <v>0</v>
      </c>
      <c r="J48" s="1">
        <f t="shared" si="15"/>
        <v>0</v>
      </c>
      <c r="K48" s="1">
        <f t="shared" si="15"/>
        <v>0</v>
      </c>
      <c r="L48" s="1">
        <f t="shared" si="15"/>
        <v>0</v>
      </c>
      <c r="M48" s="1">
        <f t="shared" si="15"/>
        <v>3.5572814814814786E-2</v>
      </c>
      <c r="N48" s="1">
        <f t="shared" si="15"/>
        <v>0</v>
      </c>
      <c r="O48" s="1">
        <f t="shared" si="15"/>
        <v>0</v>
      </c>
      <c r="P48" s="1">
        <f t="shared" si="15"/>
        <v>0</v>
      </c>
      <c r="Q48" s="1">
        <f t="shared" si="15"/>
        <v>0</v>
      </c>
      <c r="R48" s="1">
        <f t="shared" si="15"/>
        <v>0</v>
      </c>
      <c r="S48" s="1">
        <f t="shared" si="15"/>
        <v>0</v>
      </c>
      <c r="T48" s="1">
        <f t="shared" si="15"/>
        <v>0</v>
      </c>
      <c r="U48" s="1">
        <f t="shared" si="15"/>
        <v>0</v>
      </c>
      <c r="V48" s="1">
        <f t="shared" si="15"/>
        <v>0</v>
      </c>
      <c r="W48" s="1">
        <f t="shared" si="15"/>
        <v>0</v>
      </c>
      <c r="X48" s="1">
        <f t="shared" si="15"/>
        <v>0</v>
      </c>
      <c r="Y48" s="1">
        <f t="shared" si="15"/>
        <v>0</v>
      </c>
      <c r="Z48" s="1">
        <f t="shared" si="15"/>
        <v>0</v>
      </c>
      <c r="AA48" s="10">
        <f t="shared" si="15"/>
        <v>0</v>
      </c>
    </row>
    <row r="49" spans="1:27" x14ac:dyDescent="0.25">
      <c r="C49" s="11">
        <f t="shared" ref="C49:AA49" si="16">C$46*C$47*C$11</f>
        <v>0</v>
      </c>
      <c r="D49" s="1">
        <f t="shared" si="16"/>
        <v>4.9163333333333342E-3</v>
      </c>
      <c r="E49" s="1">
        <f t="shared" si="16"/>
        <v>0</v>
      </c>
      <c r="F49" s="1">
        <f t="shared" si="16"/>
        <v>0</v>
      </c>
      <c r="G49" s="1">
        <f t="shared" si="16"/>
        <v>0</v>
      </c>
      <c r="H49" s="1">
        <f t="shared" si="16"/>
        <v>0.34378155555555573</v>
      </c>
      <c r="I49" s="1">
        <f t="shared" si="16"/>
        <v>0.12133466666666673</v>
      </c>
      <c r="J49" s="1">
        <f t="shared" si="16"/>
        <v>0</v>
      </c>
      <c r="K49" s="1">
        <f t="shared" si="16"/>
        <v>0</v>
      </c>
      <c r="L49" s="1">
        <f t="shared" si="16"/>
        <v>0</v>
      </c>
      <c r="M49" s="1">
        <f t="shared" si="16"/>
        <v>3.5572814814814786E-2</v>
      </c>
      <c r="N49" s="1">
        <f t="shared" si="16"/>
        <v>9.4163333333333373E-3</v>
      </c>
      <c r="O49" s="1">
        <f t="shared" si="16"/>
        <v>0</v>
      </c>
      <c r="P49" s="1">
        <f t="shared" si="16"/>
        <v>0</v>
      </c>
      <c r="Q49" s="1">
        <f t="shared" si="16"/>
        <v>0</v>
      </c>
      <c r="R49" s="1">
        <f t="shared" si="16"/>
        <v>0</v>
      </c>
      <c r="S49" s="1">
        <f t="shared" si="16"/>
        <v>0</v>
      </c>
      <c r="T49" s="1">
        <f t="shared" si="16"/>
        <v>0</v>
      </c>
      <c r="U49" s="1">
        <f t="shared" si="16"/>
        <v>0</v>
      </c>
      <c r="V49" s="1">
        <f t="shared" si="16"/>
        <v>0</v>
      </c>
      <c r="W49" s="1">
        <f t="shared" si="16"/>
        <v>0</v>
      </c>
      <c r="X49" s="1">
        <f t="shared" si="16"/>
        <v>0</v>
      </c>
      <c r="Y49" s="1">
        <f t="shared" si="16"/>
        <v>0</v>
      </c>
      <c r="Z49" s="1">
        <f t="shared" si="16"/>
        <v>0</v>
      </c>
      <c r="AA49" s="14">
        <f t="shared" si="16"/>
        <v>0</v>
      </c>
    </row>
    <row r="50" spans="1:27" x14ac:dyDescent="0.25">
      <c r="C50" s="11">
        <f t="shared" ref="C50:AA50" si="17">C$46*C$47*C$12</f>
        <v>0</v>
      </c>
      <c r="D50" s="1">
        <f t="shared" si="17"/>
        <v>0</v>
      </c>
      <c r="E50" s="1">
        <f t="shared" si="17"/>
        <v>0</v>
      </c>
      <c r="F50" s="1">
        <f t="shared" si="17"/>
        <v>0</v>
      </c>
      <c r="G50" s="1">
        <f t="shared" si="17"/>
        <v>0</v>
      </c>
      <c r="H50" s="1">
        <f t="shared" si="17"/>
        <v>0</v>
      </c>
      <c r="I50" s="1">
        <f t="shared" si="17"/>
        <v>0</v>
      </c>
      <c r="J50" s="1">
        <f t="shared" si="17"/>
        <v>0</v>
      </c>
      <c r="K50" s="1">
        <f t="shared" si="17"/>
        <v>0</v>
      </c>
      <c r="L50" s="1">
        <f t="shared" si="17"/>
        <v>0</v>
      </c>
      <c r="M50" s="1">
        <f t="shared" si="17"/>
        <v>3.5572814814814786E-2</v>
      </c>
      <c r="N50" s="1">
        <f t="shared" si="17"/>
        <v>9.4163333333333373E-3</v>
      </c>
      <c r="O50" s="1">
        <f t="shared" si="17"/>
        <v>0</v>
      </c>
      <c r="P50" s="1">
        <f t="shared" si="17"/>
        <v>0</v>
      </c>
      <c r="Q50" s="1">
        <f t="shared" si="17"/>
        <v>0</v>
      </c>
      <c r="R50" s="1">
        <f t="shared" si="17"/>
        <v>0</v>
      </c>
      <c r="S50" s="1">
        <f t="shared" si="17"/>
        <v>0</v>
      </c>
      <c r="T50" s="1">
        <f t="shared" si="17"/>
        <v>0</v>
      </c>
      <c r="U50" s="1">
        <f t="shared" si="17"/>
        <v>0</v>
      </c>
      <c r="V50" s="1">
        <f t="shared" si="17"/>
        <v>0</v>
      </c>
      <c r="W50" s="1">
        <f t="shared" si="17"/>
        <v>0</v>
      </c>
      <c r="X50" s="1">
        <f t="shared" si="17"/>
        <v>0</v>
      </c>
      <c r="Y50" s="1">
        <f t="shared" si="17"/>
        <v>0</v>
      </c>
      <c r="Z50" s="1">
        <f t="shared" si="17"/>
        <v>0</v>
      </c>
      <c r="AA50" s="14">
        <f t="shared" si="17"/>
        <v>0</v>
      </c>
    </row>
    <row r="51" spans="1:27" x14ac:dyDescent="0.25">
      <c r="C51" s="11">
        <f t="shared" ref="C51:AA51" si="18">C$46*C$47*C$13</f>
        <v>0</v>
      </c>
      <c r="D51" s="1">
        <f t="shared" si="18"/>
        <v>0</v>
      </c>
      <c r="E51" s="1">
        <f t="shared" si="18"/>
        <v>0</v>
      </c>
      <c r="F51" s="1">
        <f t="shared" si="18"/>
        <v>0</v>
      </c>
      <c r="G51" s="1">
        <f t="shared" si="18"/>
        <v>0</v>
      </c>
      <c r="H51" s="1">
        <f t="shared" si="18"/>
        <v>0</v>
      </c>
      <c r="I51" s="1">
        <f t="shared" si="18"/>
        <v>0</v>
      </c>
      <c r="J51" s="1">
        <f t="shared" si="18"/>
        <v>0</v>
      </c>
      <c r="K51" s="1">
        <f t="shared" si="18"/>
        <v>0</v>
      </c>
      <c r="L51" s="1">
        <f t="shared" si="18"/>
        <v>0</v>
      </c>
      <c r="M51" s="1">
        <f t="shared" si="18"/>
        <v>0</v>
      </c>
      <c r="N51" s="1">
        <f t="shared" si="18"/>
        <v>0</v>
      </c>
      <c r="O51" s="1">
        <f t="shared" si="18"/>
        <v>0</v>
      </c>
      <c r="P51" s="1">
        <f t="shared" si="18"/>
        <v>0</v>
      </c>
      <c r="Q51" s="1">
        <f t="shared" si="18"/>
        <v>0</v>
      </c>
      <c r="R51" s="1">
        <f t="shared" si="18"/>
        <v>0</v>
      </c>
      <c r="S51" s="1">
        <f t="shared" si="18"/>
        <v>0</v>
      </c>
      <c r="T51" s="1">
        <f t="shared" si="18"/>
        <v>0</v>
      </c>
      <c r="U51" s="1">
        <f t="shared" si="18"/>
        <v>0</v>
      </c>
      <c r="V51" s="1">
        <f t="shared" si="18"/>
        <v>0</v>
      </c>
      <c r="W51" s="1">
        <f t="shared" si="18"/>
        <v>0</v>
      </c>
      <c r="X51" s="1">
        <f t="shared" si="18"/>
        <v>0</v>
      </c>
      <c r="Y51" s="1">
        <f t="shared" si="18"/>
        <v>0</v>
      </c>
      <c r="Z51" s="1">
        <f t="shared" si="18"/>
        <v>0</v>
      </c>
      <c r="AA51" s="14">
        <f t="shared" si="18"/>
        <v>0</v>
      </c>
    </row>
    <row r="52" spans="1:27" x14ac:dyDescent="0.25">
      <c r="C52" s="11">
        <f t="shared" ref="C52:AA52" si="19">C$46*C$47*C$14</f>
        <v>0</v>
      </c>
      <c r="D52" s="1">
        <f t="shared" si="19"/>
        <v>0</v>
      </c>
      <c r="E52" s="1">
        <f t="shared" si="19"/>
        <v>0</v>
      </c>
      <c r="F52" s="1">
        <f t="shared" si="19"/>
        <v>0</v>
      </c>
      <c r="G52" s="1">
        <f t="shared" si="19"/>
        <v>0</v>
      </c>
      <c r="H52" s="16">
        <f t="shared" si="19"/>
        <v>0</v>
      </c>
      <c r="I52" s="16">
        <f t="shared" si="19"/>
        <v>0</v>
      </c>
      <c r="J52" s="16">
        <f t="shared" si="19"/>
        <v>0</v>
      </c>
      <c r="K52" s="16">
        <f t="shared" si="19"/>
        <v>0</v>
      </c>
      <c r="L52" s="16">
        <f t="shared" si="19"/>
        <v>0</v>
      </c>
      <c r="M52" s="16">
        <f t="shared" si="19"/>
        <v>0</v>
      </c>
      <c r="N52" s="16">
        <f t="shared" si="19"/>
        <v>0</v>
      </c>
      <c r="O52" s="16">
        <f t="shared" si="19"/>
        <v>0</v>
      </c>
      <c r="P52" s="16">
        <f t="shared" si="19"/>
        <v>0</v>
      </c>
      <c r="Q52" s="16">
        <f t="shared" si="19"/>
        <v>0</v>
      </c>
      <c r="R52" s="16">
        <f t="shared" si="19"/>
        <v>0</v>
      </c>
      <c r="S52" s="16">
        <f t="shared" si="19"/>
        <v>0</v>
      </c>
      <c r="T52" s="16">
        <f t="shared" si="19"/>
        <v>0</v>
      </c>
      <c r="U52" s="16">
        <f t="shared" si="19"/>
        <v>0</v>
      </c>
      <c r="V52" s="16">
        <f t="shared" si="19"/>
        <v>0</v>
      </c>
      <c r="W52" s="16">
        <f t="shared" si="19"/>
        <v>0</v>
      </c>
      <c r="X52" s="16">
        <f t="shared" si="19"/>
        <v>0</v>
      </c>
      <c r="Y52" s="16">
        <f t="shared" si="19"/>
        <v>0</v>
      </c>
      <c r="Z52" s="16">
        <f t="shared" si="19"/>
        <v>0</v>
      </c>
      <c r="AA52" s="19">
        <f t="shared" si="19"/>
        <v>0</v>
      </c>
    </row>
    <row r="53" spans="1:27" x14ac:dyDescent="0.25">
      <c r="A53" s="3" t="s">
        <v>16</v>
      </c>
      <c r="C53" s="6">
        <f>SUM(C48:AA48)</f>
        <v>0.43998914814814827</v>
      </c>
      <c r="D53" s="7">
        <f>SUM(C49:AA49)</f>
        <v>0.51502170370370393</v>
      </c>
      <c r="E53" s="7">
        <f>SUM(C50:AA50)</f>
        <v>4.4989148148148125E-2</v>
      </c>
      <c r="F53" s="7">
        <f>SUM(C51:AA51)</f>
        <v>0</v>
      </c>
      <c r="G53" s="10">
        <f>SUM(C52:AA52)</f>
        <v>0</v>
      </c>
    </row>
    <row r="54" spans="1:27" x14ac:dyDescent="0.25">
      <c r="A54" s="3" t="s">
        <v>17</v>
      </c>
      <c r="C54" s="26">
        <v>0.03</v>
      </c>
      <c r="D54" s="27">
        <v>0.9</v>
      </c>
      <c r="E54" s="27">
        <v>7.0000000000000007E-2</v>
      </c>
      <c r="F54" s="27">
        <v>0</v>
      </c>
      <c r="G54" s="28">
        <v>0</v>
      </c>
      <c r="H54" s="1" t="str">
        <f>IF(SUM(C54:G54)&lt;&gt;1,"ERROR - values must sum to 1"," " )</f>
        <v xml:space="preserve"> </v>
      </c>
    </row>
    <row r="55" spans="1:27" x14ac:dyDescent="0.25">
      <c r="C55" s="6">
        <f>$C53</f>
        <v>0.43998914814814827</v>
      </c>
      <c r="D55" s="7">
        <f>$C53</f>
        <v>0.43998914814814827</v>
      </c>
      <c r="E55" s="7">
        <f>$C53</f>
        <v>0.43998914814814827</v>
      </c>
      <c r="F55" s="7">
        <f>$C53</f>
        <v>0.43998914814814827</v>
      </c>
      <c r="G55" s="7">
        <f>$C53</f>
        <v>0.43998914814814827</v>
      </c>
      <c r="H55" s="7">
        <f>$D53</f>
        <v>0.51502170370370393</v>
      </c>
      <c r="I55" s="7">
        <f>$D53</f>
        <v>0.51502170370370393</v>
      </c>
      <c r="J55" s="7">
        <f>$D53</f>
        <v>0.51502170370370393</v>
      </c>
      <c r="K55" s="7">
        <f>$D53</f>
        <v>0.51502170370370393</v>
      </c>
      <c r="L55" s="7">
        <f>$D53</f>
        <v>0.51502170370370393</v>
      </c>
      <c r="M55" s="7">
        <f>$E53</f>
        <v>4.4989148148148125E-2</v>
      </c>
      <c r="N55" s="7">
        <f>$E53</f>
        <v>4.4989148148148125E-2</v>
      </c>
      <c r="O55" s="7">
        <f>$E53</f>
        <v>4.4989148148148125E-2</v>
      </c>
      <c r="P55" s="7">
        <f>$E53</f>
        <v>4.4989148148148125E-2</v>
      </c>
      <c r="Q55" s="7">
        <f>$E53</f>
        <v>4.4989148148148125E-2</v>
      </c>
      <c r="R55" s="7">
        <f>$F53</f>
        <v>0</v>
      </c>
      <c r="S55" s="7">
        <f>$F53</f>
        <v>0</v>
      </c>
      <c r="T55" s="7">
        <f>$F53</f>
        <v>0</v>
      </c>
      <c r="U55" s="7">
        <f>$F53</f>
        <v>0</v>
      </c>
      <c r="V55" s="7">
        <f>$F53</f>
        <v>0</v>
      </c>
      <c r="W55" s="7">
        <f>$G53</f>
        <v>0</v>
      </c>
      <c r="X55" s="7">
        <f>$G53</f>
        <v>0</v>
      </c>
      <c r="Y55" s="7">
        <f>$G53</f>
        <v>0</v>
      </c>
      <c r="Z55" s="7">
        <f>$G53</f>
        <v>0</v>
      </c>
      <c r="AA55" s="10">
        <f>$G53</f>
        <v>0</v>
      </c>
    </row>
    <row r="56" spans="1:27" x14ac:dyDescent="0.25">
      <c r="C56" s="15">
        <f>$C54</f>
        <v>0.03</v>
      </c>
      <c r="D56" s="16">
        <f>$D54</f>
        <v>0.9</v>
      </c>
      <c r="E56" s="16">
        <f>$E54</f>
        <v>7.0000000000000007E-2</v>
      </c>
      <c r="F56" s="16">
        <f>$F54</f>
        <v>0</v>
      </c>
      <c r="G56" s="16">
        <f>$G54</f>
        <v>0</v>
      </c>
      <c r="H56" s="16">
        <f>$C54</f>
        <v>0.03</v>
      </c>
      <c r="I56" s="16">
        <f>$D54</f>
        <v>0.9</v>
      </c>
      <c r="J56" s="16">
        <f>$E54</f>
        <v>7.0000000000000007E-2</v>
      </c>
      <c r="K56" s="16">
        <f>$F54</f>
        <v>0</v>
      </c>
      <c r="L56" s="16">
        <f>$G54</f>
        <v>0</v>
      </c>
      <c r="M56" s="16">
        <f>$C54</f>
        <v>0.03</v>
      </c>
      <c r="N56" s="16">
        <f>$D54</f>
        <v>0.9</v>
      </c>
      <c r="O56" s="16">
        <f>$E54</f>
        <v>7.0000000000000007E-2</v>
      </c>
      <c r="P56" s="16">
        <f>$F54</f>
        <v>0</v>
      </c>
      <c r="Q56" s="16">
        <f>$G54</f>
        <v>0</v>
      </c>
      <c r="R56" s="16">
        <f>$C54</f>
        <v>0.03</v>
      </c>
      <c r="S56" s="16">
        <f>$D54</f>
        <v>0.9</v>
      </c>
      <c r="T56" s="16">
        <f>$E54</f>
        <v>7.0000000000000007E-2</v>
      </c>
      <c r="U56" s="16">
        <f>$F54</f>
        <v>0</v>
      </c>
      <c r="V56" s="16">
        <f>$G54</f>
        <v>0</v>
      </c>
      <c r="W56" s="16">
        <f>$C54</f>
        <v>0.03</v>
      </c>
      <c r="X56" s="16">
        <f>$D54</f>
        <v>0.9</v>
      </c>
      <c r="Y56" s="16">
        <f>$E54</f>
        <v>7.0000000000000007E-2</v>
      </c>
      <c r="Z56" s="16">
        <f>$F54</f>
        <v>0</v>
      </c>
      <c r="AA56" s="19">
        <f>$G54</f>
        <v>0</v>
      </c>
    </row>
    <row r="57" spans="1:27" x14ac:dyDescent="0.25">
      <c r="C57" s="6">
        <f t="shared" ref="C57:AA57" si="20">C$55*C$56*C$10</f>
        <v>1.3199674444444448E-2</v>
      </c>
      <c r="D57" s="7">
        <f t="shared" si="20"/>
        <v>0.19799511666666672</v>
      </c>
      <c r="E57" s="7">
        <f t="shared" si="20"/>
        <v>1.0266413456790116E-2</v>
      </c>
      <c r="F57" s="7">
        <f t="shared" si="20"/>
        <v>0</v>
      </c>
      <c r="G57" s="7">
        <f t="shared" si="20"/>
        <v>0</v>
      </c>
      <c r="H57" s="7">
        <f t="shared" si="20"/>
        <v>7.7253255555555589E-3</v>
      </c>
      <c r="I57" s="7">
        <f t="shared" si="20"/>
        <v>0</v>
      </c>
      <c r="J57" s="7">
        <f t="shared" si="20"/>
        <v>0</v>
      </c>
      <c r="K57" s="7">
        <f t="shared" si="20"/>
        <v>0</v>
      </c>
      <c r="L57" s="7">
        <f t="shared" si="20"/>
        <v>0</v>
      </c>
      <c r="M57" s="7">
        <f t="shared" si="20"/>
        <v>4.4989148148148072E-4</v>
      </c>
      <c r="N57" s="7">
        <f t="shared" si="20"/>
        <v>0</v>
      </c>
      <c r="O57" s="7">
        <f t="shared" si="20"/>
        <v>0</v>
      </c>
      <c r="P57" s="7">
        <f t="shared" si="20"/>
        <v>0</v>
      </c>
      <c r="Q57" s="7">
        <f t="shared" si="20"/>
        <v>0</v>
      </c>
      <c r="R57" s="7">
        <f t="shared" si="20"/>
        <v>0</v>
      </c>
      <c r="S57" s="7">
        <f t="shared" si="20"/>
        <v>0</v>
      </c>
      <c r="T57" s="7">
        <f t="shared" si="20"/>
        <v>0</v>
      </c>
      <c r="U57" s="7">
        <f t="shared" si="20"/>
        <v>0</v>
      </c>
      <c r="V57" s="7">
        <f t="shared" si="20"/>
        <v>0</v>
      </c>
      <c r="W57" s="7">
        <f t="shared" si="20"/>
        <v>0</v>
      </c>
      <c r="X57" s="7">
        <f t="shared" si="20"/>
        <v>0</v>
      </c>
      <c r="Y57" s="7">
        <f t="shared" si="20"/>
        <v>0</v>
      </c>
      <c r="Z57" s="7">
        <f t="shared" si="20"/>
        <v>0</v>
      </c>
      <c r="AA57" s="10">
        <f t="shared" si="20"/>
        <v>0</v>
      </c>
    </row>
    <row r="58" spans="1:27" x14ac:dyDescent="0.25">
      <c r="C58" s="11">
        <f t="shared" ref="C58:AA58" si="21">C$55*C$56*C$11</f>
        <v>0</v>
      </c>
      <c r="D58" s="1">
        <f t="shared" si="21"/>
        <v>0.19799511666666672</v>
      </c>
      <c r="E58" s="1">
        <f t="shared" si="21"/>
        <v>1.0266413456790116E-2</v>
      </c>
      <c r="F58" s="1">
        <f t="shared" si="21"/>
        <v>0</v>
      </c>
      <c r="G58" s="1">
        <f t="shared" si="21"/>
        <v>0</v>
      </c>
      <c r="H58" s="1">
        <f t="shared" si="21"/>
        <v>7.7253255555555589E-3</v>
      </c>
      <c r="I58" s="1">
        <f t="shared" si="21"/>
        <v>0.46351953333333357</v>
      </c>
      <c r="J58" s="1">
        <f t="shared" si="21"/>
        <v>1.8025759629629639E-2</v>
      </c>
      <c r="K58" s="1">
        <f t="shared" si="21"/>
        <v>0</v>
      </c>
      <c r="L58" s="1">
        <f t="shared" si="21"/>
        <v>0</v>
      </c>
      <c r="M58" s="1">
        <f t="shared" si="21"/>
        <v>4.4989148148148072E-4</v>
      </c>
      <c r="N58" s="1">
        <f t="shared" si="21"/>
        <v>2.0245116666666656E-2</v>
      </c>
      <c r="O58" s="1">
        <f t="shared" si="21"/>
        <v>0</v>
      </c>
      <c r="P58" s="1">
        <f t="shared" si="21"/>
        <v>0</v>
      </c>
      <c r="Q58" s="1">
        <f t="shared" si="21"/>
        <v>0</v>
      </c>
      <c r="R58" s="1">
        <f t="shared" si="21"/>
        <v>0</v>
      </c>
      <c r="S58" s="1">
        <f t="shared" si="21"/>
        <v>0</v>
      </c>
      <c r="T58" s="1">
        <f t="shared" si="21"/>
        <v>0</v>
      </c>
      <c r="U58" s="1">
        <f t="shared" si="21"/>
        <v>0</v>
      </c>
      <c r="V58" s="1">
        <f t="shared" si="21"/>
        <v>0</v>
      </c>
      <c r="W58" s="1">
        <f t="shared" si="21"/>
        <v>0</v>
      </c>
      <c r="X58" s="1">
        <f t="shared" si="21"/>
        <v>0</v>
      </c>
      <c r="Y58" s="1">
        <f t="shared" si="21"/>
        <v>0</v>
      </c>
      <c r="Z58" s="1">
        <f t="shared" si="21"/>
        <v>0</v>
      </c>
      <c r="AA58" s="14">
        <f t="shared" si="21"/>
        <v>0</v>
      </c>
    </row>
    <row r="59" spans="1:27" x14ac:dyDescent="0.25">
      <c r="C59" s="11">
        <f t="shared" ref="C59:AA59" si="22">C$55*C$56*C$12</f>
        <v>0</v>
      </c>
      <c r="D59" s="1">
        <f t="shared" si="22"/>
        <v>0</v>
      </c>
      <c r="E59" s="1">
        <f t="shared" si="22"/>
        <v>1.0266413456790116E-2</v>
      </c>
      <c r="F59" s="1">
        <f t="shared" si="22"/>
        <v>0</v>
      </c>
      <c r="G59" s="1">
        <f t="shared" si="22"/>
        <v>0</v>
      </c>
      <c r="H59" s="1">
        <f t="shared" si="22"/>
        <v>0</v>
      </c>
      <c r="I59" s="1">
        <f t="shared" si="22"/>
        <v>0</v>
      </c>
      <c r="J59" s="1">
        <f t="shared" si="22"/>
        <v>1.8025759629629639E-2</v>
      </c>
      <c r="K59" s="1">
        <f t="shared" si="22"/>
        <v>0</v>
      </c>
      <c r="L59" s="1">
        <f t="shared" si="22"/>
        <v>0</v>
      </c>
      <c r="M59" s="1">
        <f t="shared" si="22"/>
        <v>4.4989148148148072E-4</v>
      </c>
      <c r="N59" s="1">
        <f t="shared" si="22"/>
        <v>2.0245116666666656E-2</v>
      </c>
      <c r="O59" s="1">
        <f t="shared" si="22"/>
        <v>3.1492403703703691E-3</v>
      </c>
      <c r="P59" s="1">
        <f t="shared" si="22"/>
        <v>0</v>
      </c>
      <c r="Q59" s="1">
        <f t="shared" si="22"/>
        <v>0</v>
      </c>
      <c r="R59" s="1">
        <f t="shared" si="22"/>
        <v>0</v>
      </c>
      <c r="S59" s="1">
        <f t="shared" si="22"/>
        <v>0</v>
      </c>
      <c r="T59" s="1">
        <f t="shared" si="22"/>
        <v>0</v>
      </c>
      <c r="U59" s="1">
        <f t="shared" si="22"/>
        <v>0</v>
      </c>
      <c r="V59" s="1">
        <f t="shared" si="22"/>
        <v>0</v>
      </c>
      <c r="W59" s="1">
        <f t="shared" si="22"/>
        <v>0</v>
      </c>
      <c r="X59" s="1">
        <f t="shared" si="22"/>
        <v>0</v>
      </c>
      <c r="Y59" s="1">
        <f t="shared" si="22"/>
        <v>0</v>
      </c>
      <c r="Z59" s="1">
        <f t="shared" si="22"/>
        <v>0</v>
      </c>
      <c r="AA59" s="14">
        <f t="shared" si="22"/>
        <v>0</v>
      </c>
    </row>
    <row r="60" spans="1:27" x14ac:dyDescent="0.25">
      <c r="C60" s="11">
        <f t="shared" ref="C60:AA60" si="23">C$55*C$56*C$13</f>
        <v>0</v>
      </c>
      <c r="D60" s="1">
        <f t="shared" si="23"/>
        <v>0</v>
      </c>
      <c r="E60" s="1">
        <f t="shared" si="23"/>
        <v>0</v>
      </c>
      <c r="F60" s="1">
        <f t="shared" si="23"/>
        <v>0</v>
      </c>
      <c r="G60" s="1">
        <f t="shared" si="23"/>
        <v>0</v>
      </c>
      <c r="H60" s="1">
        <f t="shared" si="23"/>
        <v>0</v>
      </c>
      <c r="I60" s="1">
        <f t="shared" si="23"/>
        <v>0</v>
      </c>
      <c r="J60" s="1">
        <f t="shared" si="23"/>
        <v>0</v>
      </c>
      <c r="K60" s="1">
        <f t="shared" si="23"/>
        <v>0</v>
      </c>
      <c r="L60" s="1">
        <f t="shared" si="23"/>
        <v>0</v>
      </c>
      <c r="M60" s="1">
        <f t="shared" si="23"/>
        <v>0</v>
      </c>
      <c r="N60" s="1">
        <f t="shared" si="23"/>
        <v>0</v>
      </c>
      <c r="O60" s="1">
        <f t="shared" si="23"/>
        <v>0</v>
      </c>
      <c r="P60" s="1">
        <f t="shared" si="23"/>
        <v>0</v>
      </c>
      <c r="Q60" s="1">
        <f t="shared" si="23"/>
        <v>0</v>
      </c>
      <c r="R60" s="1">
        <f t="shared" si="23"/>
        <v>0</v>
      </c>
      <c r="S60" s="1">
        <f t="shared" si="23"/>
        <v>0</v>
      </c>
      <c r="T60" s="1">
        <f t="shared" si="23"/>
        <v>0</v>
      </c>
      <c r="U60" s="1">
        <f t="shared" si="23"/>
        <v>0</v>
      </c>
      <c r="V60" s="1">
        <f t="shared" si="23"/>
        <v>0</v>
      </c>
      <c r="W60" s="1">
        <f t="shared" si="23"/>
        <v>0</v>
      </c>
      <c r="X60" s="1">
        <f t="shared" si="23"/>
        <v>0</v>
      </c>
      <c r="Y60" s="1">
        <f t="shared" si="23"/>
        <v>0</v>
      </c>
      <c r="Z60" s="1">
        <f t="shared" si="23"/>
        <v>0</v>
      </c>
      <c r="AA60" s="14">
        <f t="shared" si="23"/>
        <v>0</v>
      </c>
    </row>
    <row r="61" spans="1:27" x14ac:dyDescent="0.25">
      <c r="C61" s="15">
        <f t="shared" ref="C61:AA61" si="24">C$55*C$56*C$14</f>
        <v>0</v>
      </c>
      <c r="D61" s="16">
        <f t="shared" si="24"/>
        <v>0</v>
      </c>
      <c r="E61" s="16">
        <f t="shared" si="24"/>
        <v>0</v>
      </c>
      <c r="F61" s="16">
        <f t="shared" si="24"/>
        <v>0</v>
      </c>
      <c r="G61" s="16">
        <f t="shared" si="24"/>
        <v>0</v>
      </c>
      <c r="H61" s="16">
        <f t="shared" si="24"/>
        <v>0</v>
      </c>
      <c r="I61" s="16">
        <f t="shared" si="24"/>
        <v>0</v>
      </c>
      <c r="J61" s="16">
        <f t="shared" si="24"/>
        <v>0</v>
      </c>
      <c r="K61" s="16">
        <f t="shared" si="24"/>
        <v>0</v>
      </c>
      <c r="L61" s="16">
        <f t="shared" si="24"/>
        <v>0</v>
      </c>
      <c r="M61" s="16">
        <f t="shared" si="24"/>
        <v>0</v>
      </c>
      <c r="N61" s="16">
        <f t="shared" si="24"/>
        <v>0</v>
      </c>
      <c r="O61" s="16">
        <f t="shared" si="24"/>
        <v>0</v>
      </c>
      <c r="P61" s="16">
        <f t="shared" si="24"/>
        <v>0</v>
      </c>
      <c r="Q61" s="16">
        <f t="shared" si="24"/>
        <v>0</v>
      </c>
      <c r="R61" s="16">
        <f t="shared" si="24"/>
        <v>0</v>
      </c>
      <c r="S61" s="16">
        <f t="shared" si="24"/>
        <v>0</v>
      </c>
      <c r="T61" s="16">
        <f t="shared" si="24"/>
        <v>0</v>
      </c>
      <c r="U61" s="16">
        <f t="shared" si="24"/>
        <v>0</v>
      </c>
      <c r="V61" s="16">
        <f t="shared" si="24"/>
        <v>0</v>
      </c>
      <c r="W61" s="16">
        <f t="shared" si="24"/>
        <v>0</v>
      </c>
      <c r="X61" s="16">
        <f t="shared" si="24"/>
        <v>0</v>
      </c>
      <c r="Y61" s="16">
        <f t="shared" si="24"/>
        <v>0</v>
      </c>
      <c r="Z61" s="16">
        <f t="shared" si="24"/>
        <v>0</v>
      </c>
      <c r="AA61" s="19">
        <f t="shared" si="24"/>
        <v>0</v>
      </c>
    </row>
    <row r="62" spans="1:27" x14ac:dyDescent="0.25">
      <c r="A62" s="3" t="s">
        <v>18</v>
      </c>
      <c r="C62" s="29">
        <f>SUM(C57:AA57)</f>
        <v>0.2296364216049383</v>
      </c>
      <c r="D62" s="30">
        <f>SUM(C58:AA58)</f>
        <v>0.71822715679012361</v>
      </c>
      <c r="E62" s="30">
        <f>SUM(C59:AA59)</f>
        <v>5.2136421604938268E-2</v>
      </c>
      <c r="F62" s="30">
        <f>SUM(C60:AA60)</f>
        <v>0</v>
      </c>
      <c r="G62" s="31">
        <f>SUM(C61:AA61)</f>
        <v>0</v>
      </c>
    </row>
  </sheetData>
  <pageMargins left="0.7" right="0.7" top="0.75" bottom="0.75" header="0.3" footer="0.3"/>
  <pageSetup paperSize="9" orientation="portrait" horizontalDpi="360" verticalDpi="360" r:id="rId1"/>
  <drawing r:id="rId2"/>
  <legacyDrawing r:id="rId3"/>
  <controls>
    <mc:AlternateContent xmlns:mc="http://schemas.openxmlformats.org/markup-compatibility/2006">
      <mc:Choice Requires="x14">
        <control shapeId="1025" r:id="rId4" name="BackToMain">
          <controlPr defaultSize="0" autoLine="0" autoPict="0" r:id="rId5">
            <anchor moveWithCells="1">
              <from>
                <xdr:col>24</xdr:col>
                <xdr:colOff>152400</xdr:colOff>
                <xdr:row>2</xdr:row>
                <xdr:rowOff>76200</xdr:rowOff>
              </from>
              <to>
                <xdr:col>27</xdr:col>
                <xdr:colOff>19050</xdr:colOff>
                <xdr:row>5</xdr:row>
                <xdr:rowOff>19050</xdr:rowOff>
              </to>
            </anchor>
          </controlPr>
        </control>
      </mc:Choice>
      <mc:Fallback>
        <control shapeId="1025" r:id="rId4" name="BackToMain"/>
      </mc:Fallback>
    </mc:AlternateContent>
  </controls>
  <extLst>
    <ext xmlns:x14="http://schemas.microsoft.com/office/spreadsheetml/2009/9/main" uri="{05C60535-1F16-4fd2-B633-F4F36F0B64E0}">
      <x14:sparklineGroups xmlns:xm="http://schemas.microsoft.com/office/excel/2006/main">
        <x14:sparklineGroup type="column" displayEmptyCellsAs="gap" xr2:uid="{CD42F028-CFD8-4432-B164-1C62ED19EC81}">
          <x14:colorSeries rgb="FF376092"/>
          <x14:colorNegative rgb="FFD00000"/>
          <x14:colorAxis rgb="FF000000"/>
          <x14:colorMarkers rgb="FFD00000"/>
          <x14:colorFirst rgb="FFD00000"/>
          <x14:colorLast rgb="FFD00000"/>
          <x14:colorHigh rgb="FFD00000"/>
          <x14:colorLow rgb="FFD00000"/>
          <x14:sparklines>
            <x14:sparkline>
              <xm:f>'Matrix - Baseline Overall'!C17:G17</xm:f>
              <xm:sqref>B17</xm:sqref>
            </x14:sparkline>
          </x14:sparklines>
        </x14:sparklineGroup>
        <x14:sparklineGroup type="column" displayEmptyCellsAs="gap" xr2:uid="{E624BE04-86F0-4399-9DFC-8CD24AF9304C}">
          <x14:colorSeries rgb="FF376092"/>
          <x14:colorNegative rgb="FFD00000"/>
          <x14:colorAxis rgb="FF000000"/>
          <x14:colorMarkers rgb="FFD00000"/>
          <x14:colorFirst rgb="FFD00000"/>
          <x14:colorLast rgb="FFD00000"/>
          <x14:colorHigh rgb="FFD00000"/>
          <x14:colorLow rgb="FFD00000"/>
          <x14:sparklines>
            <x14:sparkline>
              <xm:f>'Matrix - Baseline Overall'!C18:G18</xm:f>
              <xm:sqref>B18</xm:sqref>
            </x14:sparkline>
          </x14:sparklines>
        </x14:sparklineGroup>
        <x14:sparklineGroup type="column" displayEmptyCellsAs="gap" xr2:uid="{BAC5B1BA-A4C2-487E-959C-BF20B71693FD}">
          <x14:colorSeries rgb="FF376092"/>
          <x14:colorNegative rgb="FFD00000"/>
          <x14:colorAxis rgb="FF000000"/>
          <x14:colorMarkers rgb="FFD00000"/>
          <x14:colorFirst rgb="FFD00000"/>
          <x14:colorLast rgb="FFD00000"/>
          <x14:colorHigh rgb="FFD00000"/>
          <x14:colorLow rgb="FFD00000"/>
          <x14:sparklines>
            <x14:sparkline>
              <xm:f>'Matrix - Baseline Overall'!C26:G26</xm:f>
              <xm:sqref>B26</xm:sqref>
            </x14:sparkline>
          </x14:sparklines>
        </x14:sparklineGroup>
        <x14:sparklineGroup type="column" displayEmptyCellsAs="gap" xr2:uid="{DCBA0FC2-E8A5-4C86-BFDC-B216CFD54429}">
          <x14:colorSeries rgb="FF376092"/>
          <x14:colorNegative rgb="FFD00000"/>
          <x14:colorAxis rgb="FF000000"/>
          <x14:colorMarkers rgb="FFD00000"/>
          <x14:colorFirst rgb="FFD00000"/>
          <x14:colorLast rgb="FFD00000"/>
          <x14:colorHigh rgb="FFD00000"/>
          <x14:colorLow rgb="FFD00000"/>
          <x14:sparklines>
            <x14:sparkline>
              <xm:f>'Matrix - Baseline Overall'!C27:G27</xm:f>
              <xm:sqref>B27</xm:sqref>
            </x14:sparkline>
          </x14:sparklines>
        </x14:sparklineGroup>
        <x14:sparklineGroup type="column" displayEmptyCellsAs="gap" xr2:uid="{E688259A-54F9-4313-95F9-F992BC049CA9}">
          <x14:colorSeries rgb="FF376092"/>
          <x14:colorNegative rgb="FFD00000"/>
          <x14:colorAxis rgb="FF000000"/>
          <x14:colorMarkers rgb="FFD00000"/>
          <x14:colorFirst rgb="FFD00000"/>
          <x14:colorLast rgb="FFD00000"/>
          <x14:colorHigh rgb="FFD00000"/>
          <x14:colorLow rgb="FFD00000"/>
          <x14:sparklines>
            <x14:sparkline>
              <xm:f>'Matrix - Baseline Overall'!C35:G35</xm:f>
              <xm:sqref>B35</xm:sqref>
            </x14:sparkline>
          </x14:sparklines>
        </x14:sparklineGroup>
        <x14:sparklineGroup type="column" displayEmptyCellsAs="gap" xr2:uid="{EF39EDA8-A132-43EF-A755-641FA6CBCE09}">
          <x14:colorSeries rgb="FF376092"/>
          <x14:colorNegative rgb="FFD00000"/>
          <x14:colorAxis rgb="FF000000"/>
          <x14:colorMarkers rgb="FFD00000"/>
          <x14:colorFirst rgb="FFD00000"/>
          <x14:colorLast rgb="FFD00000"/>
          <x14:colorHigh rgb="FFD00000"/>
          <x14:colorLow rgb="FFD00000"/>
          <x14:sparklines>
            <x14:sparkline>
              <xm:f>'Matrix - Baseline Overall'!C36:G36</xm:f>
              <xm:sqref>B36</xm:sqref>
            </x14:sparkline>
          </x14:sparklines>
        </x14:sparklineGroup>
        <x14:sparklineGroup type="column" displayEmptyCellsAs="gap" xr2:uid="{EF5AEF34-A61D-4D6F-AA91-2371B02415F1}">
          <x14:colorSeries rgb="FF376092"/>
          <x14:colorNegative rgb="FFD00000"/>
          <x14:colorAxis rgb="FF000000"/>
          <x14:colorMarkers rgb="FFD00000"/>
          <x14:colorFirst rgb="FFD00000"/>
          <x14:colorLast rgb="FFD00000"/>
          <x14:colorHigh rgb="FFD00000"/>
          <x14:colorLow rgb="FFD00000"/>
          <x14:sparklines>
            <x14:sparkline>
              <xm:f>'Matrix - Baseline Overall'!C37:G37</xm:f>
              <xm:sqref>B37</xm:sqref>
            </x14:sparkline>
          </x14:sparklines>
        </x14:sparklineGroup>
        <x14:sparklineGroup type="column" displayEmptyCellsAs="gap" xr2:uid="{24E997BC-1958-42F4-9B0D-38C1242C24B0}">
          <x14:colorSeries rgb="FF376092"/>
          <x14:colorNegative rgb="FFD00000"/>
          <x14:colorAxis rgb="FF000000"/>
          <x14:colorMarkers rgb="FFD00000"/>
          <x14:colorFirst rgb="FFD00000"/>
          <x14:colorLast rgb="FFD00000"/>
          <x14:colorHigh rgb="FFD00000"/>
          <x14:colorLow rgb="FFD00000"/>
          <x14:sparklines>
            <x14:sparkline>
              <xm:f>'Matrix - Baseline Overall'!C45:G45</xm:f>
              <xm:sqref>B45</xm:sqref>
            </x14:sparkline>
          </x14:sparklines>
        </x14:sparklineGroup>
        <x14:sparklineGroup type="column" displayEmptyCellsAs="gap" xr2:uid="{4707B96B-2C16-4029-83A8-D7AC3301BC81}">
          <x14:colorSeries rgb="FF376092"/>
          <x14:colorNegative rgb="FFD00000"/>
          <x14:colorAxis rgb="FF000000"/>
          <x14:colorMarkers rgb="FFD00000"/>
          <x14:colorFirst rgb="FFD00000"/>
          <x14:colorLast rgb="FFD00000"/>
          <x14:colorHigh rgb="FFD00000"/>
          <x14:colorLow rgb="FFD00000"/>
          <x14:sparklines>
            <x14:sparkline>
              <xm:f>'Matrix - Baseline Overall'!C53:G53</xm:f>
              <xm:sqref>B53</xm:sqref>
            </x14:sparkline>
          </x14:sparklines>
        </x14:sparklineGroup>
        <x14:sparklineGroup type="column" displayEmptyCellsAs="gap" xr2:uid="{1A7E2836-387B-40B5-809B-5127D5FF1BB9}">
          <x14:colorSeries rgb="FF376092"/>
          <x14:colorNegative rgb="FFD00000"/>
          <x14:colorAxis rgb="FF000000"/>
          <x14:colorMarkers rgb="FFD00000"/>
          <x14:colorFirst rgb="FFD00000"/>
          <x14:colorLast rgb="FFD00000"/>
          <x14:colorHigh rgb="FFD00000"/>
          <x14:colorLow rgb="FFD00000"/>
          <x14:sparklines>
            <x14:sparkline>
              <xm:f>'Matrix - Baseline Overall'!C54:G54</xm:f>
              <xm:sqref>B54</xm:sqref>
            </x14:sparkline>
          </x14:sparklines>
        </x14:sparklineGroup>
        <x14:sparklineGroup type="column" displayEmptyCellsAs="gap" xr2:uid="{854542B2-DC1F-4D68-8F7E-55C7D561A222}">
          <x14:colorSeries rgb="FF376092"/>
          <x14:colorNegative rgb="FFD00000"/>
          <x14:colorAxis rgb="FF000000"/>
          <x14:colorMarkers rgb="FFD00000"/>
          <x14:colorFirst rgb="FFD00000"/>
          <x14:colorLast rgb="FFD00000"/>
          <x14:colorHigh rgb="FFD00000"/>
          <x14:colorLow rgb="FFD00000"/>
          <x14:sparklines>
            <x14:sparkline>
              <xm:f>'Matrix - Baseline Overall'!C62:G62</xm:f>
              <xm:sqref>B62</xm:sqref>
            </x14:sparkline>
          </x14:sparklines>
        </x14:sparklineGroup>
      </x14:sparklineGroup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Matrix - Baseline Overall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Leach, Adrian W</dc:creator>
  <cp:lastModifiedBy>Leach, Adrian W</cp:lastModifiedBy>
  <dcterms:created xsi:type="dcterms:W3CDTF">2026-09-25T09:13:47Z</dcterms:created>
  <dcterms:modified xsi:type="dcterms:W3CDTF">2026-09-25T09:16:18Z</dcterms:modified>
</cp:coreProperties>
</file>